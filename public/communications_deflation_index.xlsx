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mmunications Deflation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<sst xmlns="http://schemas.openxmlformats.org/spreadsheetml/2006/main" count="38" uniqueCount="36">
  <si>
    <t xml:space="preserve">COMMUNICATIONS SECTOR DEFLATION INDEX</t>
  </si>
  <si>
    <t xml:space="preserve">Tracking the dramatic decline in communication costs (1990-2024)</t>
  </si>
  <si>
    <t xml:space="preserve">Year</t>
  </si>
  <si>
    <t xml:space="preserve">Long Distance ($/min)</t>
  </si>
  <si>
    <t xml:space="preserve">Annual % Change</t>
  </si>
  <si>
    <t xml:space="preserve">Mobile Data ($/GB)</t>
  </si>
  <si>
    <t xml:space="preserve">Video Entertainment ($/mo)</t>
  </si>
  <si>
    <t xml:space="preserve">Composite Comm. Deflation (%)</t>
  </si>
  <si>
    <t xml:space="preserve">Cumulative Index (Base 1990=100)</t>
  </si>
  <si>
    <t xml:space="preserve">Lost Value vs CPI</t>
  </si>
  <si>
    <t xml:space="preserve">Notes</t>
  </si>
  <si>
    <t xml:space="preserve">AT&amp;T monopoly era</t>
  </si>
  <si>
    <t xml:space="preserve">Competition begins post-breakup</t>
  </si>
  <si>
    <t xml:space="preserve">Internet calling emerges</t>
  </si>
  <si>
    <t xml:space="preserve">iPhone launches</t>
  </si>
  <si>
    <t xml:space="preserve">Smartphone adoption accelerates</t>
  </si>
  <si>
    <t xml:space="preserve">Free internet calling mainstream</t>
  </si>
  <si>
    <t xml:space="preserve">Zoom era, data critical</t>
  </si>
  <si>
    <t xml:space="preserve">Communications nearly free</t>
  </si>
  <si>
    <t xml:space="preserve">SUMMARY (1990-2024):</t>
  </si>
  <si>
    <t xml:space="preserve">Avg Annual Communication Deflation:</t>
  </si>
  <si>
    <t xml:space="preserve">Total Cumulative Deflation:</t>
  </si>
  <si>
    <t xml:space="preserve">Long Distance: 1990 vs 2024:</t>
  </si>
  <si>
    <t xml:space="preserve">$0.25 → $0.00</t>
  </si>
  <si>
    <t xml:space="preserve">Video Entertainment: Peak vs Now:</t>
  </si>
  <si>
    <t xml:space="preserve">$80 → $42</t>
  </si>
  <si>
    <t xml:space="preserve">Value Destroyed by Not Capturing:</t>
  </si>
  <si>
    <t xml:space="preserve">KEY INSIGHTS:</t>
  </si>
  <si>
    <t xml:space="preserve">1. Long distance calling: From $0.25/min to FREE (100% deflation)</t>
  </si>
  <si>
    <t xml:space="preserve">2. Mobile data: Despite "high" US prices, down 99%+ from early days</t>
  </si>
  <si>
    <t xml:space="preserve">3. Video: Cable peaked at $80/mo, now streaming ~$42/mo (47% savings)</t>
  </si>
  <si>
    <t xml:space="preserve">4. Internet calling (Zoom, WhatsApp, FaceTime) = infinite deflation</t>
  </si>
  <si>
    <t xml:space="preserve">5. What cost $200+/mo for communication in 1990 costs ~$50 today</t>
  </si>
  <si>
    <t xml:space="preserve">6. Quality improved massively: HD video, global reach, instant</t>
  </si>
  <si>
    <t xml:space="preserve">METHODOLOGY:</t>
  </si>
  <si>
    <t xml:space="preserve">Data sources: FCC historical reports (long distance), Statista/Cable.co.uk (mobile data), industry reports (streaming vs cable). Composite weighted 30% long distance, 40% mobile data (post-2000), 30% video. Pre-2000 weighted 50/50 LD and video. Notable: Many communication services now FREE (WhatsApp, Zoom basic, FaceTime) - true deflation = 100%.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</si>
</sst>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\$0.000"/>
    <numFmt numFmtId="166" formatCode="\$#,##0.00"/>
    <numFmt numFmtId="167" formatCode="#,##0.0"/>
    <numFmt numFmtId="168" formatCode="0.0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366092"/>
      <name val="Cambria"/>
      <family val="0"/>
      <charset val="1"/>
    </font>
    <font>
      <i val="true"/>
      <sz val="10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1"/>
      <color rgb="FF366092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0"/>
      <name val="Cambria"/>
      <family val="0"/>
      <charset val="1"/>
    </font>
    <font>
      <i val="true"/>
      <sz val="9"/>
      <name val="Cambria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366092"/>
        <bgColor rgb="FF333399"/>
      </patternFill>
    </fill>
    <fill>
      <patternFill patternType="solid">
        <fgColor rgb="FFFFF2CC"/>
        <bgColor rgb="FFFFFFFF"/>
      </patternFill>
    </fill>
    <fill>
      <patternFill patternType="solid">
        <fgColor rgb="FFC6E0B4"/>
        <bgColor rgb="FFCCFFCC"/>
      </patternFill>
    </fill>
    <fill>
      <patternFill patternType="solid">
        <fgColor rgb="FFF4B084"/>
        <bgColor rgb="FFFF99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6E0B4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4B084"/>
      <rgbColor rgb="FF3366FF"/>
      <rgbColor rgb="FF33CCCC"/>
      <rgbColor rgb="FF99CC00"/>
      <rgbColor rgb="FFFFCC00"/>
      <rgbColor rgb="FFFF9900"/>
      <rgbColor rgb="FFFF6600"/>
      <rgbColor rgb="FF366092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6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0" min="1" style="0" width="13"/>
    <col collapsed="false" customWidth="true" hidden="false" outlineLevel="0" max="11" min="11" style="0" width="30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4" customFormat="false" ht="55.2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4</v>
      </c>
      <c r="F4" s="3" t="s">
        <v>6</v>
      </c>
      <c r="G4" s="3" t="s">
        <v>4</v>
      </c>
      <c r="H4" s="3" t="s">
        <v>7</v>
      </c>
      <c r="I4" s="3" t="s">
        <v>8</v>
      </c>
      <c r="J4" s="3" t="s">
        <v>9</v>
      </c>
      <c r="K4" s="3" t="s">
        <v>10</v>
      </c>
    </row>
    <row r="5" customFormat="false" ht="15" hidden="false" customHeight="false" outlineLevel="0" collapsed="false">
      <c r="A5" s="4" t="n">
        <v>1990</v>
      </c>
      <c r="B5" s="5" t="n">
        <v>0.25</v>
      </c>
      <c r="C5" s="0" t="n">
        <v>0</v>
      </c>
      <c r="D5" s="4" t="n">
        <v>0</v>
      </c>
      <c r="E5" s="0" t="n">
        <v>0</v>
      </c>
      <c r="F5" s="6" t="n">
        <v>25</v>
      </c>
      <c r="G5" s="0" t="n">
        <v>0</v>
      </c>
      <c r="H5" s="0" t="n">
        <v>0</v>
      </c>
      <c r="I5" s="7" t="n">
        <v>100</v>
      </c>
      <c r="J5" s="0" t="n">
        <v>0</v>
      </c>
      <c r="K5" s="8" t="s">
        <v>11</v>
      </c>
    </row>
    <row r="6" customFormat="false" ht="15" hidden="false" customHeight="false" outlineLevel="0" collapsed="false">
      <c r="A6" s="4" t="n">
        <v>1991</v>
      </c>
      <c r="B6" s="5" t="n">
        <v>0.225720112861859</v>
      </c>
      <c r="C6" s="9" t="n">
        <f aca="false">(B6-B5)/B5</f>
        <v>-0.0971195485525656</v>
      </c>
      <c r="D6" s="4" t="n">
        <v>0</v>
      </c>
      <c r="E6" s="0" t="n">
        <v>0</v>
      </c>
      <c r="F6" s="6" t="n">
        <v>27.464013582653</v>
      </c>
      <c r="G6" s="9" t="n">
        <f aca="false">(F6-F5)/F5</f>
        <v>0.098560543306118</v>
      </c>
      <c r="H6" s="9" t="n">
        <f aca="false">(ABS(C6)*0.5 + ABS(G6)*0.5)</f>
        <v>0.0978400459293418</v>
      </c>
      <c r="I6" s="7" t="n">
        <f aca="false">I5*(1-H6)</f>
        <v>90.2159954070658</v>
      </c>
      <c r="J6" s="7" t="n">
        <f aca="false">(100-I6)</f>
        <v>9.78400459293418</v>
      </c>
    </row>
    <row r="7" customFormat="false" ht="15" hidden="false" customHeight="false" outlineLevel="0" collapsed="false">
      <c r="A7" s="4" t="n">
        <v>1992</v>
      </c>
      <c r="B7" s="5" t="n">
        <v>0.203798277401481</v>
      </c>
      <c r="C7" s="9" t="n">
        <f aca="false">(B7-B6)/B6</f>
        <v>-0.0971195485525658</v>
      </c>
      <c r="D7" s="4" t="n">
        <v>0</v>
      </c>
      <c r="E7" s="0" t="n">
        <v>0</v>
      </c>
      <c r="F7" s="6" t="n">
        <v>30.1708816827258</v>
      </c>
      <c r="G7" s="9" t="n">
        <f aca="false">(F7-F6)/F6</f>
        <v>0.0985605433061173</v>
      </c>
      <c r="H7" s="9" t="n">
        <f aca="false">(ABS(C7)*0.5 + ABS(G7)*0.5)</f>
        <v>0.0978400459293415</v>
      </c>
      <c r="I7" s="7" t="n">
        <f aca="false">I6*(1-H7)</f>
        <v>81.3892582728772</v>
      </c>
      <c r="J7" s="7" t="n">
        <f aca="false">(100-I7)</f>
        <v>18.6107417271228</v>
      </c>
    </row>
    <row r="8" customFormat="false" ht="15" hidden="false" customHeight="false" outlineLevel="0" collapsed="false">
      <c r="A8" s="4" t="n">
        <v>1993</v>
      </c>
      <c r="B8" s="5" t="n">
        <v>0.184005480704458</v>
      </c>
      <c r="C8" s="9" t="n">
        <f aca="false">(B8-B7)/B7</f>
        <v>-0.097119548552566</v>
      </c>
      <c r="D8" s="4" t="n">
        <v>0</v>
      </c>
      <c r="E8" s="0" t="n">
        <v>0</v>
      </c>
      <c r="F8" s="6" t="n">
        <v>33.1445401733999</v>
      </c>
      <c r="G8" s="9" t="n">
        <f aca="false">(F8-F7)/F7</f>
        <v>0.0985605433061184</v>
      </c>
      <c r="H8" s="9" t="n">
        <f aca="false">(ABS(C8)*0.5 + ABS(G8)*0.5)</f>
        <v>0.0978400459293422</v>
      </c>
      <c r="I8" s="7" t="n">
        <f aca="false">I7*(1-H8)</f>
        <v>73.4261295053038</v>
      </c>
      <c r="J8" s="7" t="n">
        <f aca="false">(100-I8)</f>
        <v>26.5738704946962</v>
      </c>
    </row>
    <row r="9" customFormat="false" ht="15" hidden="false" customHeight="false" outlineLevel="0" collapsed="false">
      <c r="A9" s="4" t="n">
        <v>1994</v>
      </c>
      <c r="B9" s="5" t="n">
        <v>0.166134951487244</v>
      </c>
      <c r="C9" s="9" t="n">
        <f aca="false">(B9-B8)/B8</f>
        <v>-0.0971195485525655</v>
      </c>
      <c r="D9" s="4" t="n">
        <v>0</v>
      </c>
      <c r="E9" s="0" t="n">
        <v>0</v>
      </c>
      <c r="F9" s="6" t="n">
        <v>36.4112840605216</v>
      </c>
      <c r="G9" s="9" t="n">
        <f aca="false">(F9-F8)/F8</f>
        <v>0.0985605433061174</v>
      </c>
      <c r="H9" s="9" t="n">
        <f aca="false">(ABS(C9)*0.5 + ABS(G9)*0.5)</f>
        <v>0.0978400459293415</v>
      </c>
      <c r="I9" s="7" t="n">
        <f aca="false">I8*(1-H9)</f>
        <v>66.2421136220911</v>
      </c>
      <c r="J9" s="7" t="n">
        <f aca="false">(100-I9)</f>
        <v>33.7578863779089</v>
      </c>
    </row>
    <row r="10" customFormat="false" ht="15" hidden="false" customHeight="false" outlineLevel="0" collapsed="false">
      <c r="A10" s="4" t="n">
        <v>1995</v>
      </c>
      <c r="B10" s="5" t="n">
        <v>0.15</v>
      </c>
      <c r="C10" s="9" t="n">
        <f aca="false">(B10-B9)/B9</f>
        <v>-0.0971195485525658</v>
      </c>
      <c r="D10" s="4" t="n">
        <v>0</v>
      </c>
      <c r="E10" s="0" t="n">
        <v>0</v>
      </c>
      <c r="F10" s="6" t="n">
        <v>40</v>
      </c>
      <c r="G10" s="9" t="n">
        <f aca="false">(F10-F9)/F9</f>
        <v>0.0985605433061176</v>
      </c>
      <c r="H10" s="9" t="n">
        <f aca="false">(ABS(C10)*0.5 + ABS(G10)*0.5)</f>
        <v>0.0978400459293417</v>
      </c>
      <c r="I10" s="7" t="n">
        <f aca="false">I9*(1-H10)</f>
        <v>59.7609821828491</v>
      </c>
      <c r="J10" s="7" t="n">
        <f aca="false">(100-I10)</f>
        <v>40.2390178171509</v>
      </c>
      <c r="K10" s="8" t="s">
        <v>12</v>
      </c>
    </row>
    <row r="11" customFormat="false" ht="15" hidden="false" customHeight="false" outlineLevel="0" collapsed="false">
      <c r="A11" s="4" t="n">
        <v>1996</v>
      </c>
      <c r="B11" s="5" t="n">
        <v>0.138316186722259</v>
      </c>
      <c r="C11" s="9" t="n">
        <f aca="false">(B11-B10)/B10</f>
        <v>-0.0778920885182727</v>
      </c>
      <c r="D11" s="4" t="n">
        <v>0</v>
      </c>
      <c r="E11" s="0" t="n">
        <v>0</v>
      </c>
      <c r="F11" s="6" t="n">
        <v>41.8255821036509</v>
      </c>
      <c r="G11" s="9" t="n">
        <f aca="false">(F11-F10)/F10</f>
        <v>0.0456395525912733</v>
      </c>
      <c r="H11" s="9" t="n">
        <f aca="false">(ABS(C11)*0.5 + ABS(G11)*0.5)</f>
        <v>0.061765820554773</v>
      </c>
      <c r="I11" s="7" t="n">
        <f aca="false">I10*(1-H11)</f>
        <v>56.0697960811662</v>
      </c>
      <c r="J11" s="7" t="n">
        <f aca="false">(100-I11)</f>
        <v>43.9302039188338</v>
      </c>
    </row>
    <row r="12" customFormat="false" ht="15" hidden="false" customHeight="false" outlineLevel="0" collapsed="false">
      <c r="A12" s="4" t="n">
        <v>1997</v>
      </c>
      <c r="B12" s="5" t="n">
        <v>0.127542450062579</v>
      </c>
      <c r="C12" s="9" t="n">
        <f aca="false">(B12-B11)/B11</f>
        <v>-0.0778920885182716</v>
      </c>
      <c r="D12" s="4" t="n">
        <v>0</v>
      </c>
      <c r="E12" s="0" t="n">
        <v>0</v>
      </c>
      <c r="F12" s="6" t="n">
        <v>43.7344829577311</v>
      </c>
      <c r="G12" s="9" t="n">
        <f aca="false">(F12-F11)/F11</f>
        <v>0.0456395525912731</v>
      </c>
      <c r="H12" s="9" t="n">
        <f aca="false">(ABS(C12)*0.5 + ABS(G12)*0.5)</f>
        <v>0.0617658205547723</v>
      </c>
      <c r="I12" s="7" t="n">
        <f aca="false">I11*(1-H12)</f>
        <v>52.6065991178742</v>
      </c>
      <c r="J12" s="7" t="n">
        <f aca="false">(100-I12)</f>
        <v>47.3934008821258</v>
      </c>
    </row>
    <row r="13" customFormat="false" ht="15" hidden="false" customHeight="false" outlineLevel="0" collapsed="false">
      <c r="A13" s="4" t="n">
        <v>1998</v>
      </c>
      <c r="B13" s="5" t="n">
        <v>0.117607902252467</v>
      </c>
      <c r="C13" s="9" t="n">
        <f aca="false">(B13-B12)/B12</f>
        <v>-0.0778920885182721</v>
      </c>
      <c r="D13" s="4" t="n">
        <v>0</v>
      </c>
      <c r="E13" s="0" t="n">
        <v>0</v>
      </c>
      <c r="F13" s="6" t="n">
        <v>45.7305051927326</v>
      </c>
      <c r="G13" s="9" t="n">
        <f aca="false">(F13-F12)/F12</f>
        <v>0.0456395525912735</v>
      </c>
      <c r="H13" s="9" t="n">
        <f aca="false">(ABS(C13)*0.5 + ABS(G13)*0.5)</f>
        <v>0.0617658205547728</v>
      </c>
      <c r="I13" s="7" t="n">
        <f aca="false">I12*(1-H13)</f>
        <v>49.3573093567627</v>
      </c>
      <c r="J13" s="7" t="n">
        <f aca="false">(100-I13)</f>
        <v>50.6426906432373</v>
      </c>
    </row>
    <row r="14" customFormat="false" ht="15" hidden="false" customHeight="false" outlineLevel="0" collapsed="false">
      <c r="A14" s="4" t="n">
        <v>1999</v>
      </c>
      <c r="B14" s="5" t="n">
        <v>0.10844717711977</v>
      </c>
      <c r="C14" s="9" t="n">
        <f aca="false">(B14-B13)/B13</f>
        <v>-0.0778920885182722</v>
      </c>
      <c r="D14" s="4" t="n">
        <v>0</v>
      </c>
      <c r="E14" s="0" t="n">
        <v>0</v>
      </c>
      <c r="F14" s="6" t="n">
        <v>47.8176249895019</v>
      </c>
      <c r="G14" s="9" t="n">
        <f aca="false">(F14-F13)/F13</f>
        <v>0.0456395525912731</v>
      </c>
      <c r="H14" s="9" t="n">
        <f aca="false">(ABS(C14)*0.5 + ABS(G14)*0.5)</f>
        <v>0.0617658205547727</v>
      </c>
      <c r="I14" s="7" t="n">
        <f aca="false">I13*(1-H14)</f>
        <v>46.3087146439665</v>
      </c>
      <c r="J14" s="7" t="n">
        <f aca="false">(100-I14)</f>
        <v>53.6912853560335</v>
      </c>
    </row>
    <row r="15" customFormat="false" ht="15" hidden="false" customHeight="false" outlineLevel="0" collapsed="false">
      <c r="A15" s="4" t="n">
        <v>2000</v>
      </c>
      <c r="B15" s="5" t="n">
        <v>0.1</v>
      </c>
      <c r="C15" s="9" t="n">
        <f aca="false">(B15-B14)/B14</f>
        <v>-0.0778920885182725</v>
      </c>
      <c r="D15" s="6" t="n">
        <v>1000</v>
      </c>
      <c r="E15" s="0" t="n">
        <v>0</v>
      </c>
      <c r="F15" s="6" t="n">
        <v>50</v>
      </c>
      <c r="G15" s="9" t="n">
        <f aca="false">(F15-F14)/F14</f>
        <v>0.0456395525912732</v>
      </c>
      <c r="H15" s="9" t="n">
        <f aca="false">(ABS(C15)*0.3 + ABS(E15)*0.4 + ABS(G15)*0.3)</f>
        <v>0.0370594923328637</v>
      </c>
      <c r="I15" s="7" t="n">
        <f aca="false">I14*(1-H15)</f>
        <v>44.5925371886737</v>
      </c>
      <c r="J15" s="7" t="n">
        <f aca="false">(100-I15)</f>
        <v>55.4074628113263</v>
      </c>
      <c r="K15" s="8" t="s">
        <v>13</v>
      </c>
    </row>
    <row r="16" customFormat="false" ht="15" hidden="false" customHeight="false" outlineLevel="0" collapsed="false">
      <c r="A16" s="4" t="n">
        <v>2001</v>
      </c>
      <c r="B16" s="5" t="n">
        <v>0.0902880451447434</v>
      </c>
      <c r="C16" s="9" t="n">
        <f aca="false">(B16-B15)/B15</f>
        <v>-0.0971195485525657</v>
      </c>
      <c r="D16" s="6" t="n">
        <v>630.957344480193</v>
      </c>
      <c r="E16" s="9" t="n">
        <f aca="false">(D16-D15)/D15</f>
        <v>-0.369042655519807</v>
      </c>
      <c r="F16" s="6" t="n">
        <v>52.6936976030892</v>
      </c>
      <c r="G16" s="9" t="n">
        <f aca="false">(F16-F15)/F15</f>
        <v>0.0538739520617835</v>
      </c>
      <c r="H16" s="9" t="n">
        <f aca="false">(ABS(C16)*0.3 + ABS(E16)*0.4 + ABS(G16)*0.3)</f>
        <v>0.192915112392227</v>
      </c>
      <c r="I16" s="7" t="n">
        <f aca="false">I15*(1-H16)</f>
        <v>35.9899628650661</v>
      </c>
      <c r="J16" s="7" t="n">
        <f aca="false">(100-I16)</f>
        <v>64.0100371349339</v>
      </c>
    </row>
    <row r="17" customFormat="false" ht="15" hidden="false" customHeight="false" outlineLevel="0" collapsed="false">
      <c r="A17" s="4" t="n">
        <v>2002</v>
      </c>
      <c r="B17" s="5" t="n">
        <v>0.0815193109605923</v>
      </c>
      <c r="C17" s="9" t="n">
        <f aca="false">(B17-B16)/B16</f>
        <v>-0.0971195485525657</v>
      </c>
      <c r="D17" s="6" t="n">
        <v>398.107170553497</v>
      </c>
      <c r="E17" s="9" t="n">
        <f aca="false">(D17-D16)/D16</f>
        <v>-0.369042655519807</v>
      </c>
      <c r="F17" s="6" t="n">
        <v>55.5325153417161</v>
      </c>
      <c r="G17" s="9" t="n">
        <f aca="false">(F17-F16)/F16</f>
        <v>0.0538739520617834</v>
      </c>
      <c r="H17" s="9" t="n">
        <f aca="false">(ABS(C17)*0.3 + ABS(E17)*0.4 + ABS(G17)*0.3)</f>
        <v>0.192915112392227</v>
      </c>
      <c r="I17" s="7" t="n">
        <f aca="false">I16*(1-H17)</f>
        <v>29.0469551339598</v>
      </c>
      <c r="J17" s="7" t="n">
        <f aca="false">(100-I17)</f>
        <v>70.9530448660402</v>
      </c>
    </row>
    <row r="18" customFormat="false" ht="15" hidden="false" customHeight="false" outlineLevel="0" collapsed="false">
      <c r="A18" s="4" t="n">
        <v>2003</v>
      </c>
      <c r="B18" s="5" t="n">
        <v>0.0736021922817833</v>
      </c>
      <c r="C18" s="9" t="n">
        <f aca="false">(B18-B17)/B17</f>
        <v>-0.0971195485525658</v>
      </c>
      <c r="D18" s="6" t="n">
        <v>251.188643150958</v>
      </c>
      <c r="E18" s="9" t="n">
        <f aca="false">(D18-D17)/D17</f>
        <v>-0.369042655519807</v>
      </c>
      <c r="F18" s="6" t="n">
        <v>58.524271411106</v>
      </c>
      <c r="G18" s="9" t="n">
        <f aca="false">(F18-F17)/F17</f>
        <v>0.0538739520617834</v>
      </c>
      <c r="H18" s="9" t="n">
        <f aca="false">(ABS(C18)*0.3 + ABS(E18)*0.4 + ABS(G18)*0.3)</f>
        <v>0.192915112392228</v>
      </c>
      <c r="I18" s="7" t="n">
        <f aca="false">I17*(1-H18)</f>
        <v>23.44335851964</v>
      </c>
      <c r="J18" s="7" t="n">
        <f aca="false">(100-I18)</f>
        <v>76.55664148036</v>
      </c>
    </row>
    <row r="19" customFormat="false" ht="15" hidden="false" customHeight="false" outlineLevel="0" collapsed="false">
      <c r="A19" s="4" t="n">
        <v>2004</v>
      </c>
      <c r="B19" s="5" t="n">
        <v>0.0664539805948974</v>
      </c>
      <c r="C19" s="9" t="n">
        <f aca="false">(B19-B18)/B18</f>
        <v>-0.0971195485525656</v>
      </c>
      <c r="D19" s="6" t="n">
        <v>158.489319246111</v>
      </c>
      <c r="E19" s="9" t="n">
        <f aca="false">(D19-D18)/D18</f>
        <v>-0.369042655519807</v>
      </c>
      <c r="F19" s="6" t="n">
        <v>61.6772052035587</v>
      </c>
      <c r="G19" s="9" t="n">
        <f aca="false">(F19-F18)/F18</f>
        <v>0.0538739520617835</v>
      </c>
      <c r="H19" s="9" t="n">
        <f aca="false">(ABS(C19)*0.3 + ABS(E19)*0.4 + ABS(G19)*0.3)</f>
        <v>0.192915112392227</v>
      </c>
      <c r="I19" s="7" t="n">
        <f aca="false">I18*(1-H19)</f>
        <v>18.9207803759723</v>
      </c>
      <c r="J19" s="7" t="n">
        <f aca="false">(100-I19)</f>
        <v>81.0792196240277</v>
      </c>
    </row>
    <row r="20" customFormat="false" ht="15" hidden="false" customHeight="false" outlineLevel="0" collapsed="false">
      <c r="A20" s="4" t="n">
        <v>2005</v>
      </c>
      <c r="B20" s="5" t="n">
        <v>0.06</v>
      </c>
      <c r="C20" s="9" t="n">
        <f aca="false">(B20-B19)/B19</f>
        <v>-0.0971195485525658</v>
      </c>
      <c r="D20" s="6" t="n">
        <v>100</v>
      </c>
      <c r="E20" s="9" t="n">
        <f aca="false">(D20-D19)/D19</f>
        <v>-0.369042655519807</v>
      </c>
      <c r="F20" s="6" t="n">
        <v>65</v>
      </c>
      <c r="G20" s="9" t="n">
        <f aca="false">(F20-F19)/F19</f>
        <v>0.0538739520617833</v>
      </c>
      <c r="H20" s="9" t="n">
        <f aca="false">(ABS(C20)*0.3 + ABS(E20)*0.4 + ABS(G20)*0.3)</f>
        <v>0.192915112392228</v>
      </c>
      <c r="I20" s="7" t="n">
        <f aca="false">I19*(1-H20)</f>
        <v>15.270675903193</v>
      </c>
      <c r="J20" s="7" t="n">
        <f aca="false">(100-I20)</f>
        <v>84.729324096807</v>
      </c>
    </row>
    <row r="21" customFormat="false" ht="15" hidden="false" customHeight="false" outlineLevel="0" collapsed="false">
      <c r="A21" s="4" t="n">
        <v>2006</v>
      </c>
      <c r="B21" s="5" t="n">
        <v>0.0481644937056138</v>
      </c>
      <c r="C21" s="9" t="n">
        <f aca="false">(B21-B20)/B20</f>
        <v>-0.197258438239769</v>
      </c>
      <c r="D21" s="6" t="n">
        <v>72.4779663677696</v>
      </c>
      <c r="E21" s="9" t="n">
        <f aca="false">(D21-D20)/D20</f>
        <v>-0.275220336322304</v>
      </c>
      <c r="F21" s="6" t="n">
        <v>67.4536878161602</v>
      </c>
      <c r="G21" s="9" t="n">
        <f aca="false">(F21-F20)/F20</f>
        <v>0.0377490433255417</v>
      </c>
      <c r="H21" s="9" t="n">
        <f aca="false">(ABS(C21)*0.3 + ABS(E21)*0.4 + ABS(G21)*0.3)</f>
        <v>0.180590378998515</v>
      </c>
      <c r="I21" s="7" t="n">
        <f aca="false">I20*(1-H21)</f>
        <v>12.5129387542719</v>
      </c>
      <c r="J21" s="7" t="n">
        <f aca="false">(100-I21)</f>
        <v>87.4870612457281</v>
      </c>
    </row>
    <row r="22" customFormat="false" ht="15" hidden="false" customHeight="false" outlineLevel="0" collapsed="false">
      <c r="A22" s="4" t="n">
        <v>2007</v>
      </c>
      <c r="B22" s="5" t="n">
        <v>0.0386636408986353</v>
      </c>
      <c r="C22" s="9" t="n">
        <f aca="false">(B22-B21)/B21</f>
        <v>-0.197258438239769</v>
      </c>
      <c r="D22" s="6" t="n">
        <v>52.5305560880754</v>
      </c>
      <c r="E22" s="9" t="n">
        <f aca="false">(D22-D21)/D21</f>
        <v>-0.275220336322304</v>
      </c>
      <c r="F22" s="6" t="n">
        <v>70</v>
      </c>
      <c r="G22" s="9" t="n">
        <f aca="false">(F22-F21)/F21</f>
        <v>0.0377490433255416</v>
      </c>
      <c r="H22" s="9" t="n">
        <f aca="false">(ABS(C22)*0.3 + ABS(E22)*0.4 + ABS(G22)*0.3)</f>
        <v>0.180590378998515</v>
      </c>
      <c r="I22" s="7" t="n">
        <f aca="false">I21*(1-H22)</f>
        <v>10.2532224022527</v>
      </c>
      <c r="J22" s="7" t="n">
        <f aca="false">(100-I22)</f>
        <v>89.7467775977473</v>
      </c>
      <c r="K22" s="8" t="s">
        <v>14</v>
      </c>
    </row>
    <row r="23" customFormat="false" ht="15" hidden="false" customHeight="false" outlineLevel="0" collapsed="false">
      <c r="A23" s="4" t="n">
        <v>2008</v>
      </c>
      <c r="B23" s="5" t="n">
        <v>0.0310369114783072</v>
      </c>
      <c r="C23" s="9" t="n">
        <f aca="false">(B23-B22)/B22</f>
        <v>-0.197258438239769</v>
      </c>
      <c r="D23" s="6" t="n">
        <v>38.0730787743176</v>
      </c>
      <c r="E23" s="9" t="n">
        <f aca="false">(D23-D22)/D22</f>
        <v>-0.275220336322304</v>
      </c>
      <c r="F23" s="6" t="n">
        <v>73.1861142004594</v>
      </c>
      <c r="G23" s="9" t="n">
        <f aca="false">(F23-F22)/F22</f>
        <v>0.0455159171494204</v>
      </c>
      <c r="H23" s="9" t="n">
        <f aca="false">(ABS(C23)*0.3 + ABS(E23)*0.4 + ABS(G23)*0.3)</f>
        <v>0.182920441145679</v>
      </c>
      <c r="I23" s="7" t="n">
        <f aca="false">I22*(1-H23)</f>
        <v>8.37769843726788</v>
      </c>
      <c r="J23" s="7" t="n">
        <f aca="false">(100-I23)</f>
        <v>91.6223015627321</v>
      </c>
    </row>
    <row r="24" customFormat="false" ht="15" hidden="false" customHeight="false" outlineLevel="0" collapsed="false">
      <c r="A24" s="4" t="n">
        <v>2009</v>
      </c>
      <c r="B24" s="5" t="n">
        <v>0.0249146187923104</v>
      </c>
      <c r="C24" s="9" t="n">
        <f aca="false">(B24-B23)/B23</f>
        <v>-0.197258438239769</v>
      </c>
      <c r="D24" s="6" t="n">
        <v>27.5945932292243</v>
      </c>
      <c r="E24" s="9" t="n">
        <f aca="false">(D24-D23)/D23</f>
        <v>-0.275220336322304</v>
      </c>
      <c r="F24" s="6" t="n">
        <v>76.5172473108956</v>
      </c>
      <c r="G24" s="9" t="n">
        <f aca="false">(F24-F23)/F23</f>
        <v>0.0455159171494205</v>
      </c>
      <c r="H24" s="9" t="n">
        <f aca="false">(ABS(C24)*0.3 + ABS(E24)*0.4 + ABS(G24)*0.3)</f>
        <v>0.182920441145679</v>
      </c>
      <c r="I24" s="7" t="n">
        <f aca="false">I23*(1-H24)</f>
        <v>6.84524614333738</v>
      </c>
      <c r="J24" s="7" t="n">
        <f aca="false">(100-I24)</f>
        <v>93.1547538566626</v>
      </c>
    </row>
    <row r="25" customFormat="false" ht="15" hidden="false" customHeight="false" outlineLevel="0" collapsed="false">
      <c r="A25" s="4" t="n">
        <v>2010</v>
      </c>
      <c r="B25" s="5" t="n">
        <v>0.02</v>
      </c>
      <c r="C25" s="9" t="n">
        <f aca="false">(B25-B24)/B24</f>
        <v>-0.197258438239769</v>
      </c>
      <c r="D25" s="6" t="n">
        <v>20</v>
      </c>
      <c r="E25" s="9" t="n">
        <f aca="false">(D25-D24)/D24</f>
        <v>-0.275220336322305</v>
      </c>
      <c r="F25" s="6" t="n">
        <v>80</v>
      </c>
      <c r="G25" s="9" t="n">
        <f aca="false">(F25-F24)/F24</f>
        <v>0.0455159171494204</v>
      </c>
      <c r="H25" s="9" t="n">
        <f aca="false">(ABS(C25)*0.3 + ABS(E25)*0.4 + ABS(G25)*0.3)</f>
        <v>0.182920441145679</v>
      </c>
      <c r="I25" s="7" t="n">
        <f aca="false">I24*(1-H25)</f>
        <v>5.59311069904735</v>
      </c>
      <c r="J25" s="7" t="n">
        <f aca="false">(100-I25)</f>
        <v>94.4068893009527</v>
      </c>
      <c r="K25" s="8" t="s">
        <v>15</v>
      </c>
    </row>
    <row r="26" customFormat="false" ht="15" hidden="false" customHeight="false" outlineLevel="0" collapsed="false">
      <c r="A26" s="4" t="n">
        <v>2011</v>
      </c>
      <c r="B26" s="5" t="n">
        <v>0.016</v>
      </c>
      <c r="C26" s="9" t="n">
        <f aca="false">(B26-B25)/B25</f>
        <v>-0.2</v>
      </c>
      <c r="D26" s="6" t="n">
        <v>17.4110112659225</v>
      </c>
      <c r="E26" s="9" t="n">
        <f aca="false">(D26-D25)/D25</f>
        <v>-0.129449436703876</v>
      </c>
      <c r="F26" s="6" t="n">
        <v>75.5270009035922</v>
      </c>
      <c r="G26" s="9" t="n">
        <f aca="false">(F26-F25)/F25</f>
        <v>-0.0559124887050981</v>
      </c>
      <c r="H26" s="9" t="n">
        <f aca="false">(ABS(C26)*0.3 + ABS(E26)*0.4 + ABS(G26)*0.3)</f>
        <v>0.12855352129308</v>
      </c>
      <c r="I26" s="7" t="n">
        <f aca="false">I25*(1-H26)</f>
        <v>4.87409662370281</v>
      </c>
      <c r="J26" s="7" t="n">
        <f aca="false">(100-I26)</f>
        <v>95.1259033762972</v>
      </c>
    </row>
    <row r="27" customFormat="false" ht="15" hidden="false" customHeight="false" outlineLevel="0" collapsed="false">
      <c r="A27" s="4" t="n">
        <v>2012</v>
      </c>
      <c r="B27" s="5" t="n">
        <v>0.012</v>
      </c>
      <c r="C27" s="9" t="n">
        <f aca="false">(B27-B26)/B26</f>
        <v>-0.25</v>
      </c>
      <c r="D27" s="6" t="n">
        <v>15.157165665104</v>
      </c>
      <c r="E27" s="9" t="n">
        <f aca="false">(D27-D26)/D26</f>
        <v>-0.129449436703876</v>
      </c>
      <c r="F27" s="6" t="n">
        <v>71.3040983186401</v>
      </c>
      <c r="G27" s="9" t="n">
        <f aca="false">(F27-F26)/F26</f>
        <v>-0.055912488705098</v>
      </c>
      <c r="H27" s="9" t="n">
        <f aca="false">(ABS(C27)*0.3 + ABS(E27)*0.4 + ABS(G27)*0.3)</f>
        <v>0.14355352129308</v>
      </c>
      <c r="I27" s="7" t="n">
        <f aca="false">I26*(1-H27)</f>
        <v>4.17440289024756</v>
      </c>
      <c r="J27" s="7" t="n">
        <f aca="false">(100-I27)</f>
        <v>95.8255971097524</v>
      </c>
    </row>
    <row r="28" customFormat="false" ht="15" hidden="false" customHeight="false" outlineLevel="0" collapsed="false">
      <c r="A28" s="4" t="n">
        <v>2013</v>
      </c>
      <c r="B28" s="5" t="n">
        <v>0.008</v>
      </c>
      <c r="C28" s="9" t="n">
        <f aca="false">(B28-B27)/B27</f>
        <v>-0.333333333333333</v>
      </c>
      <c r="D28" s="6" t="n">
        <v>13.1950791077289</v>
      </c>
      <c r="E28" s="9" t="n">
        <f aca="false">(D28-D27)/D27</f>
        <v>-0.129449436703876</v>
      </c>
      <c r="F28" s="6" t="n">
        <v>67.317308726772</v>
      </c>
      <c r="G28" s="9" t="n">
        <f aca="false">(F28-F27)/F27</f>
        <v>-0.055912488705098</v>
      </c>
      <c r="H28" s="9" t="n">
        <f aca="false">(ABS(C28)*0.3 + ABS(E28)*0.4 + ABS(G28)*0.3)</f>
        <v>0.16855352129308</v>
      </c>
      <c r="I28" s="7" t="n">
        <f aca="false">I27*(1-H28)</f>
        <v>3.47079258380033</v>
      </c>
      <c r="J28" s="7" t="n">
        <f aca="false">(100-I28)</f>
        <v>96.5292074161997</v>
      </c>
    </row>
    <row r="29" customFormat="false" ht="15" hidden="false" customHeight="false" outlineLevel="0" collapsed="false">
      <c r="A29" s="4" t="n">
        <v>2014</v>
      </c>
      <c r="B29" s="5" t="n">
        <v>0.004</v>
      </c>
      <c r="C29" s="9" t="n">
        <f aca="false">(B29-B28)/B28</f>
        <v>-0.5</v>
      </c>
      <c r="D29" s="6" t="n">
        <v>11.4869835499704</v>
      </c>
      <c r="E29" s="9" t="n">
        <f aca="false">(D29-D28)/D28</f>
        <v>-0.129449436703876</v>
      </c>
      <c r="F29" s="6" t="n">
        <v>63.5534304629287</v>
      </c>
      <c r="G29" s="9" t="n">
        <f aca="false">(F29-F28)/F28</f>
        <v>-0.055912488705098</v>
      </c>
      <c r="H29" s="9" t="n">
        <f aca="false">(ABS(C29)*0.3 + ABS(E29)*0.4 + ABS(G29)*0.3)</f>
        <v>0.21855352129308</v>
      </c>
      <c r="I29" s="7" t="n">
        <f aca="false">I28*(1-H29)</f>
        <v>2.71223864293286</v>
      </c>
      <c r="J29" s="7" t="n">
        <f aca="false">(100-I29)</f>
        <v>97.2877613570671</v>
      </c>
    </row>
    <row r="30" customFormat="false" ht="15" hidden="false" customHeight="false" outlineLevel="0" collapsed="false">
      <c r="A30" s="4" t="n">
        <v>2015</v>
      </c>
      <c r="B30" s="5" t="n">
        <v>0</v>
      </c>
      <c r="C30" s="9" t="n">
        <f aca="false">(B30-B29)/B29</f>
        <v>-1</v>
      </c>
      <c r="D30" s="6" t="n">
        <v>10</v>
      </c>
      <c r="E30" s="9" t="n">
        <f aca="false">(D30-D29)/D29</f>
        <v>-0.129449436703876</v>
      </c>
      <c r="F30" s="6" t="n">
        <v>60</v>
      </c>
      <c r="G30" s="9" t="n">
        <f aca="false">(F30-F29)/F29</f>
        <v>-0.0559124887050981</v>
      </c>
      <c r="H30" s="9" t="n">
        <f aca="false">(ABS(C30)*0.3 + ABS(E30)*0.4 + ABS(G30)*0.3)</f>
        <v>0.36855352129308</v>
      </c>
      <c r="I30" s="7" t="n">
        <f aca="false">I29*(1-H30)</f>
        <v>1.71263354049279</v>
      </c>
      <c r="J30" s="7" t="n">
        <f aca="false">(100-I30)</f>
        <v>98.2873664595072</v>
      </c>
      <c r="K30" s="8" t="s">
        <v>16</v>
      </c>
    </row>
    <row r="31" customFormat="false" ht="15" hidden="false" customHeight="false" outlineLevel="0" collapsed="false">
      <c r="A31" s="4" t="n">
        <v>2016</v>
      </c>
      <c r="B31" s="5" t="n">
        <v>0</v>
      </c>
      <c r="C31" s="0" t="n">
        <v>0</v>
      </c>
      <c r="D31" s="6" t="n">
        <v>7.74175328125559</v>
      </c>
      <c r="E31" s="9" t="n">
        <f aca="false">(D31-D30)/D30</f>
        <v>-0.225824671874441</v>
      </c>
      <c r="F31" s="6" t="n">
        <v>56.6452506776941</v>
      </c>
      <c r="G31" s="9" t="n">
        <f aca="false">(F31-F30)/F30</f>
        <v>-0.055912488705098</v>
      </c>
      <c r="H31" s="9" t="n">
        <f aca="false">(ABS(C31)*0.3 + ABS(E31)*0.4 + ABS(G31)*0.3)</f>
        <v>0.107103615361306</v>
      </c>
      <c r="I31" s="7" t="n">
        <f aca="false">I30*(1-H31)</f>
        <v>1.52920429651698</v>
      </c>
      <c r="J31" s="7" t="n">
        <f aca="false">(100-I31)</f>
        <v>98.470795703483</v>
      </c>
    </row>
    <row r="32" customFormat="false" ht="15" hidden="false" customHeight="false" outlineLevel="0" collapsed="false">
      <c r="A32" s="4" t="n">
        <v>2017</v>
      </c>
      <c r="B32" s="5" t="n">
        <v>0</v>
      </c>
      <c r="C32" s="0" t="n">
        <v>0</v>
      </c>
      <c r="D32" s="6" t="n">
        <v>5.99347438678318</v>
      </c>
      <c r="E32" s="9" t="n">
        <f aca="false">(D32-D31)/D31</f>
        <v>-0.225824671874441</v>
      </c>
      <c r="F32" s="6" t="n">
        <v>53.4780737389801</v>
      </c>
      <c r="G32" s="9" t="n">
        <f aca="false">(F32-F31)/F31</f>
        <v>-0.0559124887050981</v>
      </c>
      <c r="H32" s="9" t="n">
        <f aca="false">(ABS(C32)*0.3 + ABS(E32)*0.4 + ABS(G32)*0.3)</f>
        <v>0.107103615361306</v>
      </c>
      <c r="I32" s="7" t="n">
        <f aca="false">I31*(1-H32)</f>
        <v>1.36542098773397</v>
      </c>
      <c r="J32" s="7" t="n">
        <f aca="false">(100-I32)</f>
        <v>98.634579012266</v>
      </c>
    </row>
    <row r="33" customFormat="false" ht="15" hidden="false" customHeight="false" outlineLevel="0" collapsed="false">
      <c r="A33" s="4" t="n">
        <v>2018</v>
      </c>
      <c r="B33" s="5" t="n">
        <v>0</v>
      </c>
      <c r="C33" s="0" t="n">
        <v>0</v>
      </c>
      <c r="D33" s="6" t="n">
        <v>4.64</v>
      </c>
      <c r="E33" s="9" t="n">
        <f aca="false">(D33-D32)/D32</f>
        <v>-0.225824671874441</v>
      </c>
      <c r="F33" s="6" t="n">
        <v>50.487981545079</v>
      </c>
      <c r="G33" s="9" t="n">
        <f aca="false">(F33-F32)/F32</f>
        <v>-0.0559124887050979</v>
      </c>
      <c r="H33" s="9" t="n">
        <f aca="false">(ABS(C33)*0.3 + ABS(E33)*0.4 + ABS(G33)*0.3)</f>
        <v>0.107103615361306</v>
      </c>
      <c r="I33" s="7" t="n">
        <f aca="false">I32*(1-H33)</f>
        <v>1.21917946345746</v>
      </c>
      <c r="J33" s="7" t="n">
        <f aca="false">(100-I33)</f>
        <v>98.7808205365426</v>
      </c>
    </row>
    <row r="34" customFormat="false" ht="15" hidden="false" customHeight="false" outlineLevel="0" collapsed="false">
      <c r="A34" s="4" t="n">
        <v>2019</v>
      </c>
      <c r="B34" s="5" t="n">
        <v>0</v>
      </c>
      <c r="C34" s="0" t="n">
        <v>0</v>
      </c>
      <c r="D34" s="6" t="n">
        <v>4.02988833592198</v>
      </c>
      <c r="E34" s="9" t="n">
        <f aca="false">(D34-D33)/D33</f>
        <v>-0.131489582775436</v>
      </c>
      <c r="F34" s="6" t="n">
        <v>47.6650728471966</v>
      </c>
      <c r="G34" s="9" t="n">
        <f aca="false">(F34-F33)/F33</f>
        <v>-0.0559124887050979</v>
      </c>
      <c r="H34" s="9" t="n">
        <f aca="false">(ABS(C34)*0.3 + ABS(E34)*0.4 + ABS(G34)*0.3)</f>
        <v>0.0693695797217037</v>
      </c>
      <c r="I34" s="7" t="n">
        <f aca="false">I33*(1-H34)</f>
        <v>1.13460549647208</v>
      </c>
      <c r="J34" s="7" t="n">
        <f aca="false">(100-I34)</f>
        <v>98.8653945035279</v>
      </c>
    </row>
    <row r="35" customFormat="false" ht="15" hidden="false" customHeight="false" outlineLevel="0" collapsed="false">
      <c r="A35" s="4" t="n">
        <v>2020</v>
      </c>
      <c r="B35" s="5" t="n">
        <v>0</v>
      </c>
      <c r="C35" s="0" t="n">
        <v>0</v>
      </c>
      <c r="D35" s="6" t="n">
        <v>3.5</v>
      </c>
      <c r="E35" s="9" t="n">
        <f aca="false">(D35-D34)/D34</f>
        <v>-0.131489582775436</v>
      </c>
      <c r="F35" s="6" t="n">
        <v>45</v>
      </c>
      <c r="G35" s="9" t="n">
        <f aca="false">(F35-F34)/F34</f>
        <v>-0.0559124887050982</v>
      </c>
      <c r="H35" s="9" t="n">
        <f aca="false">(ABS(C35)*0.3 + ABS(E35)*0.4 + ABS(G35)*0.3)</f>
        <v>0.0693695797217039</v>
      </c>
      <c r="I35" s="7" t="n">
        <f aca="false">I34*(1-H35)</f>
        <v>1.05589839003188</v>
      </c>
      <c r="J35" s="7" t="n">
        <f aca="false">(100-I35)</f>
        <v>98.9441016099681</v>
      </c>
      <c r="K35" s="8" t="s">
        <v>17</v>
      </c>
    </row>
    <row r="36" customFormat="false" ht="15" hidden="false" customHeight="false" outlineLevel="0" collapsed="false">
      <c r="A36" s="4" t="n">
        <v>2021</v>
      </c>
      <c r="B36" s="5" t="n">
        <v>0</v>
      </c>
      <c r="C36" s="0" t="n">
        <v>0</v>
      </c>
      <c r="D36" s="6" t="n">
        <v>4.00487389718396</v>
      </c>
      <c r="E36" s="9" t="n">
        <f aca="false">(D36-D35)/D35</f>
        <v>0.144249684909703</v>
      </c>
      <c r="F36" s="6" t="n">
        <v>44.2304856488777</v>
      </c>
      <c r="G36" s="9" t="n">
        <f aca="false">(F36-F35)/F35</f>
        <v>-0.0171003189138293</v>
      </c>
      <c r="H36" s="9" t="n">
        <f aca="false">(ABS(C36)*0.3 + ABS(E36)*0.4 + ABS(G36)*0.3)</f>
        <v>0.0628299696380299</v>
      </c>
      <c r="I36" s="7" t="n">
        <f aca="false">I35*(1-H36)</f>
        <v>0.989556326245329</v>
      </c>
      <c r="J36" s="7" t="n">
        <f aca="false">(100-I36)</f>
        <v>99.0104436737547</v>
      </c>
    </row>
    <row r="37" customFormat="false" ht="15" hidden="false" customHeight="false" outlineLevel="0" collapsed="false">
      <c r="A37" s="4" t="n">
        <v>2022</v>
      </c>
      <c r="B37" s="5" t="n">
        <v>0</v>
      </c>
      <c r="C37" s="0" t="n">
        <v>0</v>
      </c>
      <c r="D37" s="6" t="n">
        <v>4.58257569495584</v>
      </c>
      <c r="E37" s="9" t="n">
        <f aca="false">(D37-D36)/D36</f>
        <v>0.144249684909703</v>
      </c>
      <c r="F37" s="6" t="n">
        <v>43.4741302385683</v>
      </c>
      <c r="G37" s="9" t="n">
        <f aca="false">(F37-F36)/F36</f>
        <v>-0.0171003189138297</v>
      </c>
      <c r="H37" s="9" t="n">
        <f aca="false">(ABS(C37)*0.3 + ABS(E37)*0.4 + ABS(G37)*0.3)</f>
        <v>0.06282996963803</v>
      </c>
      <c r="I37" s="7" t="n">
        <f aca="false">I36*(1-H37)</f>
        <v>0.927382532312214</v>
      </c>
      <c r="J37" s="7" t="n">
        <f aca="false">(100-I37)</f>
        <v>99.0726174676878</v>
      </c>
    </row>
    <row r="38" customFormat="false" ht="15" hidden="false" customHeight="false" outlineLevel="0" collapsed="false">
      <c r="A38" s="4" t="n">
        <v>2023</v>
      </c>
      <c r="B38" s="5" t="n">
        <v>0</v>
      </c>
      <c r="C38" s="0" t="n">
        <v>0</v>
      </c>
      <c r="D38" s="6" t="n">
        <v>5.24361079502808</v>
      </c>
      <c r="E38" s="9" t="n">
        <f aca="false">(D38-D37)/D37</f>
        <v>0.144249684909703</v>
      </c>
      <c r="F38" s="6" t="n">
        <v>42.7307087469875</v>
      </c>
      <c r="G38" s="9" t="n">
        <f aca="false">(F38-F37)/F37</f>
        <v>-0.017100318913829</v>
      </c>
      <c r="H38" s="9" t="n">
        <f aca="false">(ABS(C38)*0.3 + ABS(E38)*0.4 + ABS(G38)*0.3)</f>
        <v>0.0628299696380298</v>
      </c>
      <c r="I38" s="7" t="n">
        <f aca="false">I37*(1-H38)</f>
        <v>0.869115115964198</v>
      </c>
      <c r="J38" s="7" t="n">
        <f aca="false">(100-I38)</f>
        <v>99.1308848840358</v>
      </c>
    </row>
    <row r="39" customFormat="false" ht="15" hidden="false" customHeight="false" outlineLevel="0" collapsed="false">
      <c r="A39" s="4" t="n">
        <v>2024</v>
      </c>
      <c r="B39" s="5" t="n">
        <v>0</v>
      </c>
      <c r="C39" s="0" t="n">
        <v>0</v>
      </c>
      <c r="D39" s="6" t="n">
        <v>6</v>
      </c>
      <c r="E39" s="9" t="n">
        <f aca="false">(D39-D38)/D38</f>
        <v>0.144249684909703</v>
      </c>
      <c r="F39" s="6" t="n">
        <v>42</v>
      </c>
      <c r="G39" s="9" t="n">
        <f aca="false">(F39-F38)/F38</f>
        <v>-0.0171003189138296</v>
      </c>
      <c r="H39" s="9" t="n">
        <f aca="false">(ABS(C39)*0.3 + ABS(E39)*0.4 + ABS(G39)*0.3)</f>
        <v>0.0628299696380301</v>
      </c>
      <c r="I39" s="7" t="n">
        <f aca="false">I38*(1-H39)</f>
        <v>0.814508639616215</v>
      </c>
      <c r="J39" s="7" t="n">
        <f aca="false">(100-I39)</f>
        <v>99.1854913603838</v>
      </c>
      <c r="K39" s="8" t="s">
        <v>18</v>
      </c>
    </row>
    <row r="41" customFormat="false" ht="15" hidden="false" customHeight="false" outlineLevel="0" collapsed="false">
      <c r="A41" s="10" t="s">
        <v>19</v>
      </c>
    </row>
    <row r="42" customFormat="false" ht="15" hidden="false" customHeight="false" outlineLevel="0" collapsed="false">
      <c r="A42" s="11" t="s">
        <v>20</v>
      </c>
      <c r="B42" s="11"/>
      <c r="C42" s="12" t="n">
        <f aca="false">AVERAGE(H6:H39)</f>
        <v>0.129028768768786</v>
      </c>
    </row>
    <row r="43" customFormat="false" ht="15" hidden="false" customHeight="false" outlineLevel="0" collapsed="false">
      <c r="A43" s="11" t="s">
        <v>21</v>
      </c>
      <c r="B43" s="11"/>
      <c r="C43" s="12" t="n">
        <f aca="false">(100-I39)/100</f>
        <v>0.991854913603838</v>
      </c>
    </row>
    <row r="44" customFormat="false" ht="15" hidden="false" customHeight="false" outlineLevel="0" collapsed="false">
      <c r="A44" s="11" t="s">
        <v>22</v>
      </c>
      <c r="B44" s="11"/>
      <c r="C44" s="13" t="s">
        <v>23</v>
      </c>
    </row>
    <row r="45" customFormat="false" ht="15" hidden="false" customHeight="false" outlineLevel="0" collapsed="false">
      <c r="A45" s="11" t="s">
        <v>24</v>
      </c>
      <c r="B45" s="11"/>
      <c r="C45" s="13" t="s">
        <v>25</v>
      </c>
    </row>
    <row r="46" customFormat="false" ht="15" hidden="false" customHeight="false" outlineLevel="0" collapsed="false">
      <c r="A46" s="11" t="s">
        <v>26</v>
      </c>
      <c r="B46" s="11"/>
      <c r="C46" s="14" t="n">
        <f aca="false">J39</f>
        <v>99.1854913603838</v>
      </c>
    </row>
    <row r="49" customFormat="false" ht="15" hidden="false" customHeight="false" outlineLevel="0" collapsed="false">
      <c r="A49" s="10" t="s">
        <v>27</v>
      </c>
    </row>
    <row r="50" customFormat="false" ht="28.35" hidden="false" customHeight="true" outlineLevel="0" collapsed="false">
      <c r="A50" s="15" t="s">
        <v>28</v>
      </c>
      <c r="B50" s="15"/>
      <c r="C50" s="15"/>
      <c r="D50" s="15"/>
    </row>
    <row r="51" customFormat="false" ht="28.35" hidden="false" customHeight="true" outlineLevel="0" collapsed="false">
      <c r="A51" s="15" t="s">
        <v>29</v>
      </c>
      <c r="B51" s="15"/>
      <c r="C51" s="15"/>
      <c r="D51" s="15"/>
    </row>
    <row r="52" customFormat="false" ht="28.35" hidden="false" customHeight="true" outlineLevel="0" collapsed="false">
      <c r="A52" s="15" t="s">
        <v>30</v>
      </c>
      <c r="B52" s="15"/>
      <c r="C52" s="15"/>
      <c r="D52" s="15"/>
    </row>
    <row r="53" customFormat="false" ht="28.35" hidden="false" customHeight="true" outlineLevel="0" collapsed="false">
      <c r="A53" s="15" t="s">
        <v>31</v>
      </c>
      <c r="B53" s="15"/>
      <c r="C53" s="15"/>
      <c r="D53" s="15"/>
    </row>
    <row r="54" customFormat="false" ht="28.35" hidden="false" customHeight="true" outlineLevel="0" collapsed="false">
      <c r="A54" s="15" t="s">
        <v>32</v>
      </c>
      <c r="B54" s="15"/>
      <c r="C54" s="15"/>
      <c r="D54" s="15"/>
    </row>
    <row r="55" customFormat="false" ht="28.35" hidden="false" customHeight="true" outlineLevel="0" collapsed="false">
      <c r="A55" s="15" t="s">
        <v>33</v>
      </c>
      <c r="B55" s="15"/>
      <c r="C55" s="15"/>
      <c r="D55" s="15"/>
    </row>
    <row r="58" customFormat="false" ht="15" hidden="false" customHeight="false" outlineLevel="0" collapsed="false">
      <c r="A58" s="16" t="s">
        <v>34</v>
      </c>
    </row>
    <row r="59" customFormat="false" ht="15" hidden="false" customHeight="true" outlineLevel="0" collapsed="false">
      <c r="A59" s="17" t="s">
        <v>35</v>
      </c>
      <c r="B59" s="17"/>
      <c r="C59" s="17"/>
      <c r="D59" s="17"/>
      <c r="E59" s="17"/>
      <c r="F59" s="17"/>
      <c r="G59" s="17"/>
      <c r="H59" s="17"/>
      <c r="I59" s="17"/>
      <c r="J59" s="17"/>
      <c r="K59" s="17"/>
    </row>
    <row r="60" customFormat="false" ht="15" hidden="false" customHeight="false" outlineLevel="0" collapsed="false">
      <c r="A60" s="17"/>
      <c r="B60" s="17"/>
      <c r="C60" s="17"/>
      <c r="D60" s="17"/>
      <c r="E60" s="17"/>
      <c r="F60" s="17"/>
      <c r="G60" s="17"/>
      <c r="H60" s="17"/>
      <c r="I60" s="17"/>
      <c r="J60" s="17"/>
      <c r="K60" s="17"/>
    </row>
  </sheetData>
  <mergeCells count="14">
    <mergeCell ref="A1:K1"/>
    <mergeCell ref="A2:K2"/>
    <mergeCell ref="A42:B42"/>
    <mergeCell ref="A43:B43"/>
    <mergeCell ref="A44:B44"/>
    <mergeCell ref="A45:B45"/>
    <mergeCell ref="A46:B46"/>
    <mergeCell ref="A50:D50"/>
    <mergeCell ref="A51:D51"/>
    <mergeCell ref="A52:D52"/>
    <mergeCell ref="A53:D53"/>
    <mergeCell ref="A54:D54"/>
    <mergeCell ref="A55:D55"/>
    <mergeCell ref="A59:K6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2025-12-12T16:23:04Z</dcterms:created>
  <dc:creator>openpyxl</dc:creator>
  <dc:description/>
  <dc:language>en-US</dc:language>
  <cp:lastModifiedBy/>
  <dcterms:modified xsi:type="dcterms:W3CDTF">2025-12-12T16:23:04Z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