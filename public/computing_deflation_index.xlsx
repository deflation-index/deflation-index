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ting Deflation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<sst xmlns="http://schemas.openxmlformats.org/spreadsheetml/2006/main" count="29" uniqueCount="27">
  <si>
    <t xml:space="preserve">COMPUTING &amp; DIGITAL TECHNOLOGY DEFLATION INDEX</t>
  </si>
  <si>
    <t xml:space="preserve">Tracking the exponential decline in cost per unit of computing capability (1990-2024)</t>
  </si>
  <si>
    <t xml:space="preserve">Year</t>
  </si>
  <si>
    <t xml:space="preserve">Cost per GFLOPS ($)</t>
  </si>
  <si>
    <t xml:space="preserve">Annual % Change</t>
  </si>
  <si>
    <t xml:space="preserve">Cost per GB Storage ($)</t>
  </si>
  <si>
    <t xml:space="preserve">Smartphone Performance Index</t>
  </si>
  <si>
    <t xml:space="preserve">Composite Computing Deflation Rate (%)</t>
  </si>
  <si>
    <t xml:space="preserve">Cumulative Deflation (Base 1990=100)</t>
  </si>
  <si>
    <t xml:space="preserve">Equivalent "Lost" Purchasing Power vs CPI</t>
  </si>
  <si>
    <t xml:space="preserve">M2 Growth Rate (%)</t>
  </si>
  <si>
    <t xml:space="preserve">Official CPI (%)</t>
  </si>
  <si>
    <t xml:space="preserve">Net Real Effect (%)</t>
  </si>
  <si>
    <t xml:space="preserve">SUMMARY (1990-2024):</t>
  </si>
  <si>
    <t xml:space="preserve">Average Annual Tech Deflation:</t>
  </si>
  <si>
    <t xml:space="preserve">Cumulative Tech Deflation:</t>
  </si>
  <si>
    <t xml:space="preserve">Average Annual M2 Growth:</t>
  </si>
  <si>
    <t xml:space="preserve">Average Annual CPI:</t>
  </si>
  <si>
    <t xml:space="preserve">Theft of Abundance (Tech Deflation - CPI):</t>
  </si>
  <si>
    <t xml:space="preserve">KEY INSIGHTS:</t>
  </si>
  <si>
    <t xml:space="preserve">1. Computing costs have fallen ~99.9%+ over 34 years</t>
  </si>
  <si>
    <t xml:space="preserve">2. Without monetary expansion, we would be ~95% wealthier in tech terms</t>
  </si>
  <si>
    <t xml:space="preserve">3. The gap between tech deflation and CPI reveals "stolen abundance"</t>
  </si>
  <si>
    <t xml:space="preserve">4. M2 growth systematically exceeds both CPI and tech deflation</t>
  </si>
  <si>
    <t xml:space="preserve">5. Each year, ~30-50% annual deflation is masked by monetary policy</t>
  </si>
  <si>
    <t xml:space="preserve">METHODOLOGY:</t>
  </si>
  <si>
    <t xml:space="preserve">Data sources: AI Impacts (FLOPS data), Backblaze (storage data), industry benchmarks (smartphones). Missing years interpolated using exponential decay consistent with Wright's Law (doubling production = constant % cost reduction). Composite deflation weighted: 40% compute, 40% storage, 20% smartphones. M2 and CPI data: Federal Reserve and BLS.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</si>
</sst>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0"/>
    <numFmt numFmtId="166" formatCode="#,##0.0"/>
    <numFmt numFmtId="167" formatCode="0.0%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66092"/>
      <name val="Cambria"/>
      <family val="0"/>
      <charset val="1"/>
    </font>
    <font>
      <i val="true"/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366092"/>
      <name val="Cambria"/>
      <family val="0"/>
      <charset val="1"/>
    </font>
    <font>
      <b val="true"/>
      <sz val="10"/>
      <name val="Cambria"/>
      <family val="0"/>
      <charset val="1"/>
    </font>
    <font>
      <i val="true"/>
      <sz val="9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7" min="2" style="0" width="12"/>
    <col collapsed="false" customWidth="true" hidden="false" outlineLevel="0" max="9" min="8" style="0" width="15"/>
    <col collapsed="false" customWidth="true" hidden="false" outlineLevel="0" max="10" min="10" style="0" width="18"/>
    <col collapsed="false" customWidth="true" hidden="false" outlineLevel="0" max="12" min="11" style="0" width="12"/>
    <col collapsed="false" customWidth="true" hidden="false" outlineLevel="0" max="13" min="13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55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4</v>
      </c>
      <c r="F4" s="3" t="s">
        <v>6</v>
      </c>
      <c r="G4" s="3" t="s">
        <v>4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customFormat="false" ht="15" hidden="false" customHeight="false" outlineLevel="0" collapsed="false">
      <c r="A5" s="4" t="n">
        <v>1990</v>
      </c>
      <c r="B5" s="5" t="n">
        <v>10000</v>
      </c>
      <c r="C5" s="4" t="n">
        <v>0</v>
      </c>
      <c r="D5" s="5" t="n">
        <v>10000</v>
      </c>
      <c r="E5" s="4" t="n">
        <v>0</v>
      </c>
      <c r="F5" s="4" t="n">
        <v>0</v>
      </c>
      <c r="G5" s="4" t="n">
        <v>0</v>
      </c>
      <c r="H5" s="4" t="n">
        <v>0</v>
      </c>
      <c r="I5" s="6" t="n">
        <v>100</v>
      </c>
      <c r="J5" s="4" t="n">
        <v>0</v>
      </c>
      <c r="K5" s="7" t="n">
        <v>0.075</v>
      </c>
      <c r="L5" s="7" t="n">
        <v>0.054</v>
      </c>
      <c r="M5" s="8" t="n">
        <f aca="false">-H5+K5</f>
        <v>0.075</v>
      </c>
    </row>
    <row r="6" customFormat="false" ht="15" hidden="false" customHeight="false" outlineLevel="0" collapsed="false">
      <c r="A6" s="4" t="n">
        <v>1991</v>
      </c>
      <c r="B6" s="5" t="n">
        <v>7247.79663677696</v>
      </c>
      <c r="C6" s="7" t="n">
        <f aca="false">(B6-B5)/B5</f>
        <v>-0.275220336322305</v>
      </c>
      <c r="D6" s="5" t="n">
        <v>6309.57344480193</v>
      </c>
      <c r="E6" s="7" t="n">
        <f aca="false">(D6-D5)/D5</f>
        <v>-0.369042655519807</v>
      </c>
      <c r="F6" s="4" t="n">
        <v>0</v>
      </c>
      <c r="G6" s="4" t="n">
        <v>0</v>
      </c>
      <c r="H6" s="7" t="n">
        <f aca="false">(ABS(C6)*0.5 + ABS(E6)*0.5)</f>
        <v>0.322131495921056</v>
      </c>
      <c r="I6" s="6" t="n">
        <f aca="false">I5*(1-H6)</f>
        <v>67.7868504078944</v>
      </c>
      <c r="J6" s="6" t="n">
        <f aca="false">(100-I6)</f>
        <v>32.2131495921056</v>
      </c>
      <c r="K6" s="7" t="n">
        <v>0.042</v>
      </c>
      <c r="L6" s="7" t="n">
        <v>0.042</v>
      </c>
      <c r="M6" s="8" t="n">
        <f aca="false">-H6+K6</f>
        <v>-0.280131495921056</v>
      </c>
    </row>
    <row r="7" customFormat="false" ht="15" hidden="false" customHeight="false" outlineLevel="0" collapsed="false">
      <c r="A7" s="4" t="n">
        <v>1992</v>
      </c>
      <c r="B7" s="5" t="n">
        <v>5253.05560880754</v>
      </c>
      <c r="C7" s="7" t="n">
        <f aca="false">(B7-B6)/B6</f>
        <v>-0.275220336322304</v>
      </c>
      <c r="D7" s="5" t="n">
        <v>3981.07170553497</v>
      </c>
      <c r="E7" s="7" t="n">
        <f aca="false">(D7-D6)/D6</f>
        <v>-0.369042655519807</v>
      </c>
      <c r="F7" s="4" t="n">
        <v>0</v>
      </c>
      <c r="G7" s="4" t="n">
        <v>0</v>
      </c>
      <c r="H7" s="7" t="n">
        <f aca="false">(ABS(C7)*0.5 + ABS(E7)*0.5)</f>
        <v>0.322131495921056</v>
      </c>
      <c r="I7" s="6" t="n">
        <f aca="false">I6*(1-H7)</f>
        <v>45.9505708822226</v>
      </c>
      <c r="J7" s="6" t="n">
        <f aca="false">(100-I7)</f>
        <v>54.0494291177774</v>
      </c>
      <c r="K7" s="7" t="n">
        <v>0.058</v>
      </c>
      <c r="L7" s="7" t="n">
        <v>0.03</v>
      </c>
      <c r="M7" s="8" t="n">
        <f aca="false">-H7+K7</f>
        <v>-0.264131495921056</v>
      </c>
    </row>
    <row r="8" customFormat="false" ht="15" hidden="false" customHeight="false" outlineLevel="0" collapsed="false">
      <c r="A8" s="4" t="n">
        <v>1993</v>
      </c>
      <c r="B8" s="5" t="n">
        <v>3807.30787743176</v>
      </c>
      <c r="C8" s="7" t="n">
        <f aca="false">(B8-B7)/B7</f>
        <v>-0.275220336322304</v>
      </c>
      <c r="D8" s="5" t="n">
        <v>2511.88643150958</v>
      </c>
      <c r="E8" s="7" t="n">
        <f aca="false">(D8-D7)/D7</f>
        <v>-0.369042655519807</v>
      </c>
      <c r="F8" s="4" t="n">
        <v>0</v>
      </c>
      <c r="G8" s="4" t="n">
        <v>0</v>
      </c>
      <c r="H8" s="7" t="n">
        <f aca="false">(ABS(C8)*0.5 + ABS(E8)*0.5)</f>
        <v>0.322131495921056</v>
      </c>
      <c r="I8" s="6" t="n">
        <f aca="false">I7*(1-H8)</f>
        <v>31.1484447455057</v>
      </c>
      <c r="J8" s="6" t="n">
        <f aca="false">(100-I8)</f>
        <v>68.8515552544943</v>
      </c>
      <c r="K8" s="7" t="n">
        <v>0.069</v>
      </c>
      <c r="L8" s="7" t="n">
        <v>0.026</v>
      </c>
      <c r="M8" s="8" t="n">
        <f aca="false">-H8+K8</f>
        <v>-0.253131495921056</v>
      </c>
    </row>
    <row r="9" customFormat="false" ht="15" hidden="false" customHeight="false" outlineLevel="0" collapsed="false">
      <c r="A9" s="4" t="n">
        <v>1994</v>
      </c>
      <c r="B9" s="5" t="n">
        <v>2759.45932292243</v>
      </c>
      <c r="C9" s="7" t="n">
        <f aca="false">(B9-B8)/B8</f>
        <v>-0.275220336322304</v>
      </c>
      <c r="D9" s="5" t="n">
        <v>1584.89319246111</v>
      </c>
      <c r="E9" s="7" t="n">
        <f aca="false">(D9-D8)/D8</f>
        <v>-0.369042655519807</v>
      </c>
      <c r="F9" s="4" t="n">
        <v>0</v>
      </c>
      <c r="G9" s="4" t="n">
        <v>0</v>
      </c>
      <c r="H9" s="7" t="n">
        <f aca="false">(ABS(C9)*0.5 + ABS(E9)*0.5)</f>
        <v>0.322131495921056</v>
      </c>
      <c r="I9" s="6" t="n">
        <f aca="false">I8*(1-H9)</f>
        <v>21.1145496440216</v>
      </c>
      <c r="J9" s="6" t="n">
        <f aca="false">(100-I9)</f>
        <v>78.8854503559784</v>
      </c>
      <c r="K9" s="7" t="n">
        <v>0.085</v>
      </c>
      <c r="L9" s="7" t="n">
        <v>0.028</v>
      </c>
      <c r="M9" s="8" t="n">
        <f aca="false">-H9+K9</f>
        <v>-0.237131495921055</v>
      </c>
    </row>
    <row r="10" customFormat="false" ht="15" hidden="false" customHeight="false" outlineLevel="0" collapsed="false">
      <c r="A10" s="4" t="n">
        <v>1995</v>
      </c>
      <c r="B10" s="5" t="n">
        <v>2000</v>
      </c>
      <c r="C10" s="7" t="n">
        <f aca="false">(B10-B9)/B9</f>
        <v>-0.275220336322305</v>
      </c>
      <c r="D10" s="5" t="n">
        <v>1000</v>
      </c>
      <c r="E10" s="7" t="n">
        <f aca="false">(D10-D9)/D9</f>
        <v>-0.369042655519807</v>
      </c>
      <c r="F10" s="4" t="n">
        <v>0</v>
      </c>
      <c r="G10" s="4" t="n">
        <v>0</v>
      </c>
      <c r="H10" s="7" t="n">
        <f aca="false">(ABS(C10)*0.5 + ABS(E10)*0.5)</f>
        <v>0.322131495921056</v>
      </c>
      <c r="I10" s="6" t="n">
        <f aca="false">I9*(1-H10)</f>
        <v>14.3128881814935</v>
      </c>
      <c r="J10" s="6" t="n">
        <f aca="false">(100-I10)</f>
        <v>85.6871118185065</v>
      </c>
      <c r="K10" s="7" t="n">
        <v>0.043</v>
      </c>
      <c r="L10" s="7" t="n">
        <v>0.022</v>
      </c>
      <c r="M10" s="8" t="n">
        <f aca="false">-H10+K10</f>
        <v>-0.279131495921056</v>
      </c>
    </row>
    <row r="11" customFormat="false" ht="15" hidden="false" customHeight="false" outlineLevel="0" collapsed="false">
      <c r="A11" s="4" t="n">
        <v>1996</v>
      </c>
      <c r="B11" s="5" t="n">
        <v>1592.42868221399</v>
      </c>
      <c r="C11" s="7" t="n">
        <f aca="false">(B11-B10)/B10</f>
        <v>-0.203785658893005</v>
      </c>
      <c r="D11" s="5" t="n">
        <v>398.107170553497</v>
      </c>
      <c r="E11" s="7" t="n">
        <f aca="false">(D11-D10)/D10</f>
        <v>-0.601892829446503</v>
      </c>
      <c r="F11" s="4" t="n">
        <v>0</v>
      </c>
      <c r="G11" s="4" t="n">
        <v>0</v>
      </c>
      <c r="H11" s="7" t="n">
        <f aca="false">(ABS(C11)*0.5 + ABS(E11)*0.5)</f>
        <v>0.402839244169754</v>
      </c>
      <c r="I11" s="6" t="n">
        <f aca="false">I10*(1-H11)</f>
        <v>8.54709512457448</v>
      </c>
      <c r="J11" s="6" t="n">
        <f aca="false">(100-I11)</f>
        <v>91.4529048754255</v>
      </c>
      <c r="K11" s="7" t="n">
        <v>0.051</v>
      </c>
      <c r="L11" s="7" t="n">
        <v>0.023</v>
      </c>
      <c r="M11" s="8" t="n">
        <f aca="false">-H11+K11</f>
        <v>-0.351839244169754</v>
      </c>
    </row>
    <row r="12" customFormat="false" ht="15" hidden="false" customHeight="false" outlineLevel="0" collapsed="false">
      <c r="A12" s="4" t="n">
        <v>1997</v>
      </c>
      <c r="B12" s="5" t="n">
        <v>1267.91455396889</v>
      </c>
      <c r="C12" s="7" t="n">
        <f aca="false">(B12-B11)/B11</f>
        <v>-0.203785658893005</v>
      </c>
      <c r="D12" s="5" t="n">
        <v>158.489319246111</v>
      </c>
      <c r="E12" s="7" t="n">
        <f aca="false">(D12-D11)/D11</f>
        <v>-0.601892829446503</v>
      </c>
      <c r="F12" s="4" t="n">
        <v>0</v>
      </c>
      <c r="G12" s="4" t="n">
        <v>0</v>
      </c>
      <c r="H12" s="7" t="n">
        <f aca="false">(ABS(C12)*0.5 + ABS(E12)*0.5)</f>
        <v>0.402839244169754</v>
      </c>
      <c r="I12" s="6" t="n">
        <f aca="false">I11*(1-H12)</f>
        <v>5.1039897847439</v>
      </c>
      <c r="J12" s="6" t="n">
        <f aca="false">(100-I12)</f>
        <v>94.8960102152561</v>
      </c>
      <c r="K12" s="7" t="n">
        <v>0.062</v>
      </c>
      <c r="L12" s="7" t="n">
        <v>0.025</v>
      </c>
      <c r="M12" s="8" t="n">
        <f aca="false">-H12+K12</f>
        <v>-0.340839244169754</v>
      </c>
    </row>
    <row r="13" customFormat="false" ht="15" hidden="false" customHeight="false" outlineLevel="0" collapsed="false">
      <c r="A13" s="4" t="n">
        <v>1998</v>
      </c>
      <c r="B13" s="5" t="n">
        <v>1009.53175116831</v>
      </c>
      <c r="C13" s="7" t="n">
        <f aca="false">(B13-B12)/B12</f>
        <v>-0.203785658893006</v>
      </c>
      <c r="D13" s="5" t="n">
        <v>63.0957344480193</v>
      </c>
      <c r="E13" s="7" t="n">
        <f aca="false">(D13-D12)/D12</f>
        <v>-0.601892829446503</v>
      </c>
      <c r="F13" s="4" t="n">
        <v>0</v>
      </c>
      <c r="G13" s="4" t="n">
        <v>0</v>
      </c>
      <c r="H13" s="7" t="n">
        <f aca="false">(ABS(C13)*0.5 + ABS(E13)*0.5)</f>
        <v>0.402839244169754</v>
      </c>
      <c r="I13" s="6" t="n">
        <f aca="false">I12*(1-H13)</f>
        <v>3.04790239760752</v>
      </c>
      <c r="J13" s="6" t="n">
        <f aca="false">(100-I13)</f>
        <v>96.9520976023925</v>
      </c>
      <c r="K13" s="7" t="n">
        <v>0.058</v>
      </c>
      <c r="L13" s="7" t="n">
        <v>0.028</v>
      </c>
      <c r="M13" s="8" t="n">
        <f aca="false">-H13+K13</f>
        <v>-0.344839244169754</v>
      </c>
    </row>
    <row r="14" customFormat="false" ht="15" hidden="false" customHeight="false" outlineLevel="0" collapsed="false">
      <c r="A14" s="4" t="n">
        <v>1999</v>
      </c>
      <c r="B14" s="5" t="n">
        <v>803.803658083066</v>
      </c>
      <c r="C14" s="7" t="n">
        <f aca="false">(B14-B13)/B13</f>
        <v>-0.203785658893005</v>
      </c>
      <c r="D14" s="5" t="n">
        <v>25.1188643150958</v>
      </c>
      <c r="E14" s="7" t="n">
        <f aca="false">(D14-D13)/D13</f>
        <v>-0.601892829446503</v>
      </c>
      <c r="F14" s="4" t="n">
        <v>0</v>
      </c>
      <c r="G14" s="4" t="n">
        <v>0</v>
      </c>
      <c r="H14" s="7" t="n">
        <f aca="false">(ABS(C14)*0.5 + ABS(E14)*0.5)</f>
        <v>0.402839244169754</v>
      </c>
      <c r="I14" s="6" t="n">
        <f aca="false">I13*(1-H14)</f>
        <v>1.82008769945213</v>
      </c>
      <c r="J14" s="6" t="n">
        <f aca="false">(100-I14)</f>
        <v>98.1799123005479</v>
      </c>
      <c r="K14" s="7" t="n">
        <v>0.064</v>
      </c>
      <c r="L14" s="7" t="n">
        <v>0.034</v>
      </c>
      <c r="M14" s="8" t="n">
        <f aca="false">-H14+K14</f>
        <v>-0.338839244169754</v>
      </c>
    </row>
    <row r="15" customFormat="false" ht="15" hidden="false" customHeight="false" outlineLevel="0" collapsed="false">
      <c r="A15" s="4" t="n">
        <v>2000</v>
      </c>
      <c r="B15" s="5" t="n">
        <v>640</v>
      </c>
      <c r="C15" s="7" t="n">
        <f aca="false">(B15-B14)/B14</f>
        <v>-0.203785658893006</v>
      </c>
      <c r="D15" s="5" t="n">
        <v>10</v>
      </c>
      <c r="E15" s="7" t="n">
        <f aca="false">(D15-D14)/D14</f>
        <v>-0.601892829446503</v>
      </c>
      <c r="F15" s="4" t="n">
        <v>0</v>
      </c>
      <c r="G15" s="4" t="n">
        <v>0</v>
      </c>
      <c r="H15" s="7" t="n">
        <f aca="false">(ABS(C15)*0.5 + ABS(E15)*0.5)</f>
        <v>0.402839244169754</v>
      </c>
      <c r="I15" s="6" t="n">
        <f aca="false">I14*(1-H15)</f>
        <v>1.08688494628217</v>
      </c>
      <c r="J15" s="6" t="n">
        <f aca="false">(100-I15)</f>
        <v>98.9131150537178</v>
      </c>
      <c r="K15" s="7" t="n">
        <v>0.072</v>
      </c>
      <c r="L15" s="7" t="n">
        <v>0.027</v>
      </c>
      <c r="M15" s="8" t="n">
        <f aca="false">-H15+K15</f>
        <v>-0.330839244169754</v>
      </c>
    </row>
    <row r="16" customFormat="false" ht="15" hidden="false" customHeight="false" outlineLevel="0" collapsed="false">
      <c r="A16" s="4" t="n">
        <v>2001</v>
      </c>
      <c r="B16" s="5" t="n">
        <v>384.359818874058</v>
      </c>
      <c r="C16" s="7" t="n">
        <f aca="false">(B16-B15)/B15</f>
        <v>-0.399437783009284</v>
      </c>
      <c r="D16" s="5" t="n">
        <v>6.30957344480193</v>
      </c>
      <c r="E16" s="7" t="n">
        <f aca="false">(D16-D15)/D15</f>
        <v>-0.369042655519807</v>
      </c>
      <c r="F16" s="4" t="n">
        <v>0</v>
      </c>
      <c r="G16" s="4" t="n">
        <v>0</v>
      </c>
      <c r="H16" s="7" t="n">
        <f aca="false">(ABS(C16)*0.5 + ABS(E16)*0.5)</f>
        <v>0.384240219264546</v>
      </c>
      <c r="I16" s="6" t="n">
        <f aca="false">I15*(1-H16)</f>
        <v>0.669260036207372</v>
      </c>
      <c r="J16" s="6" t="n">
        <f aca="false">(100-I16)</f>
        <v>99.3307399637926</v>
      </c>
      <c r="K16" s="7" t="n">
        <v>0.059</v>
      </c>
      <c r="L16" s="7" t="n">
        <v>0.021</v>
      </c>
      <c r="M16" s="8" t="n">
        <f aca="false">-H16+K16</f>
        <v>-0.325240219264546</v>
      </c>
    </row>
    <row r="17" customFormat="false" ht="15" hidden="false" customHeight="false" outlineLevel="0" collapsed="false">
      <c r="A17" s="4" t="n">
        <v>2002</v>
      </c>
      <c r="B17" s="5" t="n">
        <v>230.831984945154</v>
      </c>
      <c r="C17" s="7" t="n">
        <f aca="false">(B17-B16)/B16</f>
        <v>-0.399437783009285</v>
      </c>
      <c r="D17" s="5" t="n">
        <v>3.98107170553497</v>
      </c>
      <c r="E17" s="7" t="n">
        <f aca="false">(D17-D16)/D16</f>
        <v>-0.369042655519807</v>
      </c>
      <c r="F17" s="4" t="n">
        <v>0</v>
      </c>
      <c r="G17" s="4" t="n">
        <v>0</v>
      </c>
      <c r="H17" s="7" t="n">
        <f aca="false">(ABS(C17)*0.5 + ABS(E17)*0.5)</f>
        <v>0.384240219264546</v>
      </c>
      <c r="I17" s="6" t="n">
        <f aca="false">I16*(1-H17)</f>
        <v>0.412103413150054</v>
      </c>
      <c r="J17" s="6" t="n">
        <f aca="false">(100-I17)</f>
        <v>99.58789658685</v>
      </c>
      <c r="K17" s="7" t="n">
        <v>0.068</v>
      </c>
      <c r="L17" s="7" t="n">
        <v>0.016</v>
      </c>
      <c r="M17" s="8" t="n">
        <f aca="false">-H17+K17</f>
        <v>-0.316240219264546</v>
      </c>
    </row>
    <row r="18" customFormat="false" ht="15" hidden="false" customHeight="false" outlineLevel="0" collapsed="false">
      <c r="A18" s="4" t="n">
        <v>2003</v>
      </c>
      <c r="B18" s="5" t="n">
        <v>138.628968631029</v>
      </c>
      <c r="C18" s="7" t="n">
        <f aca="false">(B18-B17)/B17</f>
        <v>-0.399437783009284</v>
      </c>
      <c r="D18" s="5" t="n">
        <v>2.51188643150958</v>
      </c>
      <c r="E18" s="7" t="n">
        <f aca="false">(D18-D17)/D17</f>
        <v>-0.369042655519807</v>
      </c>
      <c r="F18" s="4" t="n">
        <v>0</v>
      </c>
      <c r="G18" s="4" t="n">
        <v>0</v>
      </c>
      <c r="H18" s="7" t="n">
        <f aca="false">(ABS(C18)*0.5 + ABS(E18)*0.5)</f>
        <v>0.384240219264546</v>
      </c>
      <c r="I18" s="6" t="n">
        <f aca="false">I17*(1-H18)</f>
        <v>0.25375670732161</v>
      </c>
      <c r="J18" s="6" t="n">
        <f aca="false">(100-I18)</f>
        <v>99.7462432926784</v>
      </c>
      <c r="K18" s="7" t="n">
        <v>0.054</v>
      </c>
      <c r="L18" s="7" t="n">
        <v>0.015</v>
      </c>
      <c r="M18" s="8" t="n">
        <f aca="false">-H18+K18</f>
        <v>-0.330240219264546</v>
      </c>
    </row>
    <row r="19" customFormat="false" ht="15" hidden="false" customHeight="false" outlineLevel="0" collapsed="false">
      <c r="A19" s="4" t="n">
        <v>2004</v>
      </c>
      <c r="B19" s="5" t="n">
        <v>83.2553207401873</v>
      </c>
      <c r="C19" s="7" t="n">
        <f aca="false">(B19-B18)/B18</f>
        <v>-0.399437783009285</v>
      </c>
      <c r="D19" s="5" t="n">
        <v>1.58489319246111</v>
      </c>
      <c r="E19" s="7" t="n">
        <f aca="false">(D19-D18)/D18</f>
        <v>-0.369042655519807</v>
      </c>
      <c r="F19" s="4" t="n">
        <v>0</v>
      </c>
      <c r="G19" s="4" t="n">
        <v>0</v>
      </c>
      <c r="H19" s="7" t="n">
        <f aca="false">(ABS(C19)*0.5 + ABS(E19)*0.5)</f>
        <v>0.384240219264546</v>
      </c>
      <c r="I19" s="6" t="n">
        <f aca="false">I18*(1-H19)</f>
        <v>0.156253174460505</v>
      </c>
      <c r="J19" s="6" t="n">
        <f aca="false">(100-I19)</f>
        <v>99.8437468255395</v>
      </c>
      <c r="K19" s="7" t="n">
        <v>0.061</v>
      </c>
      <c r="L19" s="7" t="n">
        <v>0.001</v>
      </c>
      <c r="M19" s="8" t="n">
        <f aca="false">-H19+K19</f>
        <v>-0.323240219264546</v>
      </c>
    </row>
    <row r="20" customFormat="false" ht="15" hidden="false" customHeight="false" outlineLevel="0" collapsed="false">
      <c r="A20" s="4" t="n">
        <v>2005</v>
      </c>
      <c r="B20" s="5" t="n">
        <v>50</v>
      </c>
      <c r="C20" s="7" t="n">
        <f aca="false">(B20-B19)/B19</f>
        <v>-0.399437783009284</v>
      </c>
      <c r="D20" s="5" t="n">
        <v>1</v>
      </c>
      <c r="E20" s="7" t="n">
        <f aca="false">(D20-D19)/D19</f>
        <v>-0.369042655519807</v>
      </c>
      <c r="F20" s="4" t="n">
        <v>0</v>
      </c>
      <c r="G20" s="4" t="n">
        <v>0</v>
      </c>
      <c r="H20" s="7" t="n">
        <f aca="false">(ABS(C20)*0.5 + ABS(E20)*0.5)</f>
        <v>0.384240219264546</v>
      </c>
      <c r="I20" s="6" t="n">
        <f aca="false">I19*(1-H20)</f>
        <v>0.0962144204450194</v>
      </c>
      <c r="J20" s="6" t="n">
        <f aca="false">(100-I20)</f>
        <v>99.903785579555</v>
      </c>
      <c r="K20" s="7" t="n">
        <v>0.078</v>
      </c>
      <c r="L20" s="7" t="n">
        <v>0.007</v>
      </c>
      <c r="M20" s="8" t="n">
        <f aca="false">-H20+K20</f>
        <v>-0.306240219264546</v>
      </c>
    </row>
    <row r="21" customFormat="false" ht="15" hidden="false" customHeight="false" outlineLevel="0" collapsed="false">
      <c r="A21" s="4" t="n">
        <v>2006</v>
      </c>
      <c r="B21" s="5" t="n">
        <v>31.5478672240097</v>
      </c>
      <c r="C21" s="7" t="n">
        <f aca="false">(B21-B20)/B20</f>
        <v>-0.369042655519807</v>
      </c>
      <c r="D21" s="5" t="n">
        <v>0.575901449065324</v>
      </c>
      <c r="E21" s="7" t="n">
        <f aca="false">(D21-D20)/D20</f>
        <v>-0.424098550934676</v>
      </c>
      <c r="F21" s="4" t="n">
        <v>0</v>
      </c>
      <c r="G21" s="4" t="n">
        <v>0</v>
      </c>
      <c r="H21" s="7" t="n">
        <f aca="false">(ABS(C21)*0.5 + ABS(E21)*0.5)</f>
        <v>0.396570603227241</v>
      </c>
      <c r="I21" s="6" t="n">
        <f aca="false">I20*(1-H21)</f>
        <v>0.0580586096899786</v>
      </c>
      <c r="J21" s="6" t="n">
        <f aca="false">(100-I21)</f>
        <v>99.94194139031</v>
      </c>
      <c r="K21" s="7" t="n">
        <v>0.063</v>
      </c>
      <c r="L21" s="7" t="n">
        <v>0.013</v>
      </c>
      <c r="M21" s="8" t="n">
        <f aca="false">-H21+K21</f>
        <v>-0.333570603227241</v>
      </c>
    </row>
    <row r="22" customFormat="false" ht="15" hidden="false" customHeight="false" outlineLevel="0" collapsed="false">
      <c r="A22" s="4" t="n">
        <v>2007</v>
      </c>
      <c r="B22" s="5" t="n">
        <v>19.9053585276749</v>
      </c>
      <c r="C22" s="7" t="n">
        <f aca="false">(B22-B21)/B21</f>
        <v>-0.369042655519807</v>
      </c>
      <c r="D22" s="5" t="n">
        <v>0.33166247903554</v>
      </c>
      <c r="E22" s="7" t="n">
        <f aca="false">(D22-D21)/D21</f>
        <v>-0.424098550934676</v>
      </c>
      <c r="F22" s="4" t="n">
        <v>0</v>
      </c>
      <c r="G22" s="4" t="n">
        <v>0</v>
      </c>
      <c r="H22" s="7" t="n">
        <f aca="false">(ABS(C22)*0.5 + ABS(E22)*0.5)</f>
        <v>0.396570603227241</v>
      </c>
      <c r="I22" s="6" t="n">
        <f aca="false">I21*(1-H22)</f>
        <v>0.0350342718226888</v>
      </c>
      <c r="J22" s="6" t="n">
        <f aca="false">(100-I22)</f>
        <v>99.9649657281773</v>
      </c>
      <c r="K22" s="7" t="n">
        <v>0.057</v>
      </c>
      <c r="L22" s="7" t="n">
        <v>0.021</v>
      </c>
      <c r="M22" s="8" t="n">
        <f aca="false">-H22+K22</f>
        <v>-0.339570603227241</v>
      </c>
    </row>
    <row r="23" customFormat="false" ht="15" hidden="false" customHeight="false" outlineLevel="0" collapsed="false">
      <c r="A23" s="4" t="n">
        <v>2008</v>
      </c>
      <c r="B23" s="5" t="n">
        <v>12.5594321575479</v>
      </c>
      <c r="C23" s="7" t="n">
        <f aca="false">(B23-B22)/B22</f>
        <v>-0.369042655519807</v>
      </c>
      <c r="D23" s="5" t="n">
        <v>0.191004902277165</v>
      </c>
      <c r="E23" s="7" t="n">
        <f aca="false">(D23-D22)/D22</f>
        <v>-0.424098550934676</v>
      </c>
      <c r="F23" s="4" t="n">
        <v>0</v>
      </c>
      <c r="G23" s="4" t="n">
        <v>0</v>
      </c>
      <c r="H23" s="7" t="n">
        <f aca="false">(ABS(C23)*0.5 + ABS(E23)*0.5)</f>
        <v>0.396570603227241</v>
      </c>
      <c r="I23" s="6" t="n">
        <f aca="false">I22*(1-H23)</f>
        <v>0.021140709512338</v>
      </c>
      <c r="J23" s="6" t="n">
        <f aca="false">(100-I23)</f>
        <v>99.9788592904877</v>
      </c>
      <c r="K23" s="7" t="n">
        <v>0.069</v>
      </c>
      <c r="L23" s="7" t="n">
        <v>0.024</v>
      </c>
      <c r="M23" s="8" t="n">
        <f aca="false">-H23+K23</f>
        <v>-0.327570603227241</v>
      </c>
    </row>
    <row r="24" customFormat="false" ht="15" hidden="false" customHeight="false" outlineLevel="0" collapsed="false">
      <c r="A24" s="4" t="n">
        <v>2009</v>
      </c>
      <c r="B24" s="5" t="n">
        <v>7.92446596230557</v>
      </c>
      <c r="C24" s="7" t="n">
        <f aca="false">(B24-B23)/B23</f>
        <v>-0.369042655519807</v>
      </c>
      <c r="D24" s="5" t="n">
        <v>0.11</v>
      </c>
      <c r="E24" s="7" t="n">
        <f aca="false">(D24-D23)/D23</f>
        <v>-0.424098550934676</v>
      </c>
      <c r="F24" s="4" t="n">
        <v>0</v>
      </c>
      <c r="G24" s="4" t="n">
        <v>0</v>
      </c>
      <c r="H24" s="7" t="n">
        <f aca="false">(ABS(C24)*0.5 + ABS(E24)*0.5)</f>
        <v>0.396570603227241</v>
      </c>
      <c r="I24" s="6" t="n">
        <f aca="false">I23*(1-H24)</f>
        <v>0.0127569255883782</v>
      </c>
      <c r="J24" s="6" t="n">
        <f aca="false">(100-I24)</f>
        <v>99.9872430744116</v>
      </c>
      <c r="K24" s="7" t="n">
        <v>0.074</v>
      </c>
      <c r="L24" s="7" t="n">
        <v>0.018</v>
      </c>
      <c r="M24" s="8" t="n">
        <f aca="false">-H24+K24</f>
        <v>-0.322570603227241</v>
      </c>
    </row>
    <row r="25" customFormat="false" ht="15" hidden="false" customHeight="false" outlineLevel="0" collapsed="false">
      <c r="A25" s="4" t="n">
        <v>2010</v>
      </c>
      <c r="B25" s="5" t="n">
        <v>5</v>
      </c>
      <c r="C25" s="7" t="n">
        <f aca="false">(B25-B24)/B24</f>
        <v>-0.369042655519807</v>
      </c>
      <c r="D25" s="5" t="n">
        <v>0.0964544432046882</v>
      </c>
      <c r="E25" s="7" t="n">
        <f aca="false">(D25-D24)/D24</f>
        <v>-0.123141425411926</v>
      </c>
      <c r="F25" s="9" t="n">
        <v>100</v>
      </c>
      <c r="G25" s="4" t="n">
        <v>0</v>
      </c>
      <c r="H25" s="7" t="n">
        <f aca="false">(ABS(C25)*0.4 + ABS(E25)*0.4 + ABS(G25)*0.2)</f>
        <v>0.196873632372693</v>
      </c>
      <c r="I25" s="6" t="n">
        <f aca="false">I24*(1-H25)</f>
        <v>0.0102454233098861</v>
      </c>
      <c r="J25" s="6" t="n">
        <f aca="false">(100-I25)</f>
        <v>99.9897545766901</v>
      </c>
      <c r="K25" s="7" t="n">
        <v>0.068</v>
      </c>
      <c r="L25" s="7" t="n">
        <v>0.023</v>
      </c>
      <c r="M25" s="8" t="n">
        <f aca="false">-H25+K25</f>
        <v>-0.128873632372693</v>
      </c>
    </row>
    <row r="26" customFormat="false" ht="15" hidden="false" customHeight="false" outlineLevel="0" collapsed="false">
      <c r="A26" s="4" t="n">
        <v>2011</v>
      </c>
      <c r="B26" s="5" t="n">
        <v>3.15478672240097</v>
      </c>
      <c r="C26" s="7" t="n">
        <f aca="false">(B26-B25)/B25</f>
        <v>-0.369042655519807</v>
      </c>
      <c r="D26" s="5" t="n">
        <v>0.0845769055811492</v>
      </c>
      <c r="E26" s="7" t="n">
        <f aca="false">(D26-D25)/D25</f>
        <v>-0.123141425411926</v>
      </c>
      <c r="F26" s="9" t="n">
        <v>122.474487139159</v>
      </c>
      <c r="G26" s="7" t="n">
        <f aca="false">(F26-F25)/F25</f>
        <v>0.224744871391589</v>
      </c>
      <c r="H26" s="7" t="n">
        <f aca="false">(ABS(C26)*0.4 + ABS(E26)*0.4 + ABS(G26)*0.2)</f>
        <v>0.241822606651011</v>
      </c>
      <c r="I26" s="6" t="n">
        <f aca="false">I25*(1-H26)</f>
        <v>0.00776784833884638</v>
      </c>
      <c r="J26" s="6" t="n">
        <f aca="false">(100-I26)</f>
        <v>99.9922321516612</v>
      </c>
      <c r="K26" s="7" t="n">
        <v>0.052</v>
      </c>
      <c r="L26" s="7" t="n">
        <v>0.012</v>
      </c>
      <c r="M26" s="8" t="n">
        <f aca="false">-H26+K26</f>
        <v>-0.189822606651011</v>
      </c>
    </row>
    <row r="27" customFormat="false" ht="15" hidden="false" customHeight="false" outlineLevel="0" collapsed="false">
      <c r="A27" s="4" t="n">
        <v>2012</v>
      </c>
      <c r="B27" s="5" t="n">
        <v>1.99053585276749</v>
      </c>
      <c r="C27" s="7" t="n">
        <f aca="false">(B27-B26)/B26</f>
        <v>-0.369042655519807</v>
      </c>
      <c r="D27" s="5" t="n">
        <v>0.0741619848709566</v>
      </c>
      <c r="E27" s="7" t="n">
        <f aca="false">(D27-D26)/D26</f>
        <v>-0.123141425411926</v>
      </c>
      <c r="F27" s="9" t="n">
        <v>150</v>
      </c>
      <c r="G27" s="7" t="n">
        <f aca="false">(F27-F26)/F26</f>
        <v>0.224744871391589</v>
      </c>
      <c r="H27" s="7" t="n">
        <f aca="false">(ABS(C27)*0.4 + ABS(E27)*0.4 + ABS(G27)*0.2)</f>
        <v>0.241822606651011</v>
      </c>
      <c r="I27" s="6" t="n">
        <f aca="false">I26*(1-H27)</f>
        <v>0.00588940700547682</v>
      </c>
      <c r="J27" s="6" t="n">
        <f aca="false">(100-I27)</f>
        <v>99.9941105929945</v>
      </c>
      <c r="K27" s="7" t="n">
        <v>0.089</v>
      </c>
      <c r="L27" s="7" t="n">
        <v>0.014</v>
      </c>
      <c r="M27" s="8" t="n">
        <f aca="false">-H27+K27</f>
        <v>-0.152822606651011</v>
      </c>
    </row>
    <row r="28" customFormat="false" ht="15" hidden="false" customHeight="false" outlineLevel="0" collapsed="false">
      <c r="A28" s="4" t="n">
        <v>2013</v>
      </c>
      <c r="B28" s="5" t="n">
        <v>1.25594321575479</v>
      </c>
      <c r="C28" s="7" t="n">
        <f aca="false">(B28-B27)/B27</f>
        <v>-0.369042655519807</v>
      </c>
      <c r="D28" s="5" t="n">
        <v>0.0650295723425694</v>
      </c>
      <c r="E28" s="7" t="n">
        <f aca="false">(D28-D27)/D27</f>
        <v>-0.123141425411926</v>
      </c>
      <c r="F28" s="9" t="n">
        <v>183.711730708738</v>
      </c>
      <c r="G28" s="7" t="n">
        <f aca="false">(F28-F27)/F27</f>
        <v>0.224744871391589</v>
      </c>
      <c r="H28" s="7" t="n">
        <f aca="false">(ABS(C28)*0.4 + ABS(E28)*0.4 + ABS(G28)*0.2)</f>
        <v>0.241822606651011</v>
      </c>
      <c r="I28" s="6" t="n">
        <f aca="false">I27*(1-H28)</f>
        <v>0.0044652152517837</v>
      </c>
      <c r="J28" s="6" t="n">
        <f aca="false">(100-I28)</f>
        <v>99.9955347847482</v>
      </c>
      <c r="K28" s="7" t="n">
        <v>0.102</v>
      </c>
      <c r="L28" s="7" t="n">
        <v>0.047</v>
      </c>
      <c r="M28" s="8" t="n">
        <f aca="false">-H28+K28</f>
        <v>-0.139822606651011</v>
      </c>
    </row>
    <row r="29" customFormat="false" ht="15" hidden="false" customHeight="false" outlineLevel="0" collapsed="false">
      <c r="A29" s="4" t="n">
        <v>2014</v>
      </c>
      <c r="B29" s="5" t="n">
        <v>0.792446596230557</v>
      </c>
      <c r="C29" s="7" t="n">
        <f aca="false">(B29-B28)/B28</f>
        <v>-0.369042655519807</v>
      </c>
      <c r="D29" s="5" t="n">
        <v>0.0570217381103774</v>
      </c>
      <c r="E29" s="7" t="n">
        <f aca="false">(D29-D28)/D28</f>
        <v>-0.123141425411926</v>
      </c>
      <c r="F29" s="9" t="n">
        <v>225</v>
      </c>
      <c r="G29" s="7" t="n">
        <f aca="false">(F29-F28)/F28</f>
        <v>0.22474487139159</v>
      </c>
      <c r="H29" s="7" t="n">
        <f aca="false">(ABS(C29)*0.4 + ABS(E29)*0.4 + ABS(G29)*0.2)</f>
        <v>0.241822606651011</v>
      </c>
      <c r="I29" s="6" t="n">
        <f aca="false">I28*(1-H29)</f>
        <v>0.00338542526033951</v>
      </c>
      <c r="J29" s="6" t="n">
        <f aca="false">(100-I29)</f>
        <v>99.9966145747397</v>
      </c>
      <c r="K29" s="7" t="n">
        <v>0.239</v>
      </c>
      <c r="L29" s="7" t="n">
        <v>0.08</v>
      </c>
      <c r="M29" s="8" t="n">
        <f aca="false">-H29+K29</f>
        <v>-0.00282260665101095</v>
      </c>
    </row>
    <row r="30" customFormat="false" ht="15" hidden="false" customHeight="false" outlineLevel="0" collapsed="false">
      <c r="A30" s="4" t="n">
        <v>2015</v>
      </c>
      <c r="B30" s="5" t="n">
        <v>0.5</v>
      </c>
      <c r="C30" s="7" t="n">
        <f aca="false">(B30-B29)/B29</f>
        <v>-0.369042655519807</v>
      </c>
      <c r="D30" s="5" t="n">
        <v>0.05</v>
      </c>
      <c r="E30" s="7" t="n">
        <f aca="false">(D30-D29)/D29</f>
        <v>-0.123141425411926</v>
      </c>
      <c r="F30" s="9" t="n">
        <v>280.624304008046</v>
      </c>
      <c r="G30" s="7" t="n">
        <f aca="false">(F30-F29)/F29</f>
        <v>0.247219128924647</v>
      </c>
      <c r="H30" s="7" t="n">
        <f aca="false">(ABS(C30)*0.4 + ABS(E30)*0.4 + ABS(G30)*0.2)</f>
        <v>0.246317458157623</v>
      </c>
      <c r="I30" s="6" t="n">
        <f aca="false">I29*(1-H30)</f>
        <v>0.00255153591543008</v>
      </c>
      <c r="J30" s="6" t="n">
        <f aca="false">(100-I30)</f>
        <v>99.9974484640846</v>
      </c>
      <c r="K30" s="7" t="n">
        <v>0.125</v>
      </c>
      <c r="L30" s="7" t="n">
        <v>0.041</v>
      </c>
      <c r="M30" s="8" t="n">
        <f aca="false">-H30+K30</f>
        <v>-0.121317458157623</v>
      </c>
    </row>
    <row r="31" customFormat="false" ht="15" hidden="false" customHeight="false" outlineLevel="0" collapsed="false">
      <c r="A31" s="4" t="n">
        <v>2016</v>
      </c>
      <c r="B31" s="5" t="n">
        <v>0.122474487139159</v>
      </c>
      <c r="C31" s="7" t="n">
        <f aca="false">(B31-B30)/B30</f>
        <v>-0.755051025721682</v>
      </c>
      <c r="D31" s="5" t="n">
        <v>0.0387298334620742</v>
      </c>
      <c r="E31" s="7" t="n">
        <f aca="false">(D31-D30)/D30</f>
        <v>-0.225403330758516</v>
      </c>
      <c r="F31" s="9" t="n">
        <v>350</v>
      </c>
      <c r="G31" s="7" t="n">
        <f aca="false">(F31-F30)/F30</f>
        <v>0.247219128924647</v>
      </c>
      <c r="H31" s="7" t="n">
        <f aca="false">(ABS(C31)*0.4 + ABS(E31)*0.4 + ABS(G31)*0.2)</f>
        <v>0.441625568377009</v>
      </c>
      <c r="I31" s="6" t="n">
        <f aca="false">I30*(1-H31)</f>
        <v>0.00142471241654392</v>
      </c>
      <c r="J31" s="6" t="n">
        <f aca="false">(100-I31)</f>
        <v>99.9985752875835</v>
      </c>
      <c r="K31" s="7" t="n">
        <v>0.062</v>
      </c>
      <c r="L31" s="7" t="n">
        <v>0.034</v>
      </c>
      <c r="M31" s="8" t="n">
        <f aca="false">-H31+K31</f>
        <v>-0.379625568377009</v>
      </c>
    </row>
    <row r="32" customFormat="false" ht="15" hidden="false" customHeight="false" outlineLevel="0" collapsed="false">
      <c r="A32" s="4" t="n">
        <v>2017</v>
      </c>
      <c r="B32" s="5" t="n">
        <v>0.03</v>
      </c>
      <c r="C32" s="7" t="n">
        <f aca="false">(B32-B31)/B31</f>
        <v>-0.755051025721682</v>
      </c>
      <c r="D32" s="5" t="n">
        <v>0.03</v>
      </c>
      <c r="E32" s="7" t="n">
        <f aca="false">(D32-D31)/D31</f>
        <v>-0.225403330758517</v>
      </c>
      <c r="F32" s="9" t="n">
        <v>438.748219369606</v>
      </c>
      <c r="G32" s="7" t="n">
        <f aca="false">(F32-F31)/F31</f>
        <v>0.253566341056017</v>
      </c>
      <c r="H32" s="7" t="n">
        <f aca="false">(ABS(C32)*0.4 + ABS(E32)*0.4 + ABS(G32)*0.2)</f>
        <v>0.442895010803283</v>
      </c>
      <c r="I32" s="6" t="n">
        <f aca="false">I31*(1-H32)</f>
        <v>0.000793714395427127</v>
      </c>
      <c r="J32" s="6" t="n">
        <f aca="false">(100-I32)</f>
        <v>99.9992062856046</v>
      </c>
      <c r="K32" s="7" t="n">
        <v>0.048</v>
      </c>
      <c r="L32" s="7" t="n">
        <v>0.032</v>
      </c>
      <c r="M32" s="8" t="n">
        <f aca="false">-H32+K32</f>
        <v>-0.394895010803283</v>
      </c>
    </row>
    <row r="33" customFormat="false" ht="15" hidden="false" customHeight="false" outlineLevel="0" collapsed="false">
      <c r="A33" s="4" t="n">
        <v>2018</v>
      </c>
      <c r="B33" s="5" t="n">
        <v>0.020800838230519</v>
      </c>
      <c r="C33" s="7" t="n">
        <f aca="false">(B33-B32)/B32</f>
        <v>-0.306638725649365</v>
      </c>
      <c r="D33" s="5" t="n">
        <v>0.026207413942089</v>
      </c>
      <c r="E33" s="7" t="n">
        <f aca="false">(D33-D32)/D32</f>
        <v>-0.126419535263701</v>
      </c>
      <c r="F33" s="9" t="n">
        <v>550</v>
      </c>
      <c r="G33" s="7" t="n">
        <f aca="false">(F33-F32)/F32</f>
        <v>0.253566341056018</v>
      </c>
      <c r="H33" s="7" t="n">
        <f aca="false">(ABS(C33)*0.4 + ABS(E33)*0.4 + ABS(G33)*0.2)</f>
        <v>0.22393657257643</v>
      </c>
      <c r="I33" s="6" t="n">
        <f aca="false">I32*(1-H33)</f>
        <v>0.000615972714110603</v>
      </c>
      <c r="J33" s="6" t="n">
        <f aca="false">(100-I33)</f>
        <v>99.9993840272859</v>
      </c>
      <c r="K33" s="7" t="n">
        <v>0.035</v>
      </c>
      <c r="L33" s="7" t="n">
        <v>0.029</v>
      </c>
      <c r="M33" s="8" t="n">
        <f aca="false">-H33+K33</f>
        <v>-0.18893657257643</v>
      </c>
    </row>
    <row r="34" customFormat="false" ht="15" hidden="false" customHeight="false" outlineLevel="0" collapsed="false">
      <c r="A34" s="4" t="n">
        <v>2019</v>
      </c>
      <c r="B34" s="5" t="n">
        <v>0.0144224957030741</v>
      </c>
      <c r="C34" s="7" t="n">
        <f aca="false">(B34-B33)/B33</f>
        <v>-0.306638725649365</v>
      </c>
      <c r="D34" s="5" t="n">
        <v>0.0228942848510666</v>
      </c>
      <c r="E34" s="7" t="n">
        <f aca="false">(D34-D33)/D33</f>
        <v>-0.126419535263701</v>
      </c>
      <c r="F34" s="9" t="n">
        <v>683.739716558867</v>
      </c>
      <c r="G34" s="7" t="n">
        <f aca="false">(F34-F33)/F33</f>
        <v>0.243163121016122</v>
      </c>
      <c r="H34" s="7" t="n">
        <f aca="false">(ABS(C34)*0.4 + ABS(E34)*0.4 + ABS(G34)*0.2)</f>
        <v>0.221855928568451</v>
      </c>
      <c r="I34" s="6" t="n">
        <f aca="false">I33*(1-H34)</f>
        <v>0.000479315515648766</v>
      </c>
      <c r="J34" s="6" t="n">
        <f aca="false">(100-I34)</f>
        <v>99.9995206844844</v>
      </c>
      <c r="K34" s="7" t="n">
        <v>0.029</v>
      </c>
      <c r="L34" s="7" t="n">
        <v>0.024</v>
      </c>
      <c r="M34" s="8" t="n">
        <f aca="false">-H34+K34</f>
        <v>-0.192855928568451</v>
      </c>
    </row>
    <row r="35" customFormat="false" ht="15" hidden="false" customHeight="false" outlineLevel="0" collapsed="false">
      <c r="A35" s="4" t="n">
        <v>2020</v>
      </c>
      <c r="B35" s="5" t="n">
        <v>0.01</v>
      </c>
      <c r="C35" s="7" t="n">
        <f aca="false">(B35-B34)/B34</f>
        <v>-0.306638725649366</v>
      </c>
      <c r="D35" s="5" t="n">
        <v>0.02</v>
      </c>
      <c r="E35" s="7" t="n">
        <f aca="false">(D35-D34)/D34</f>
        <v>-0.126419535263701</v>
      </c>
      <c r="F35" s="9" t="n">
        <v>850</v>
      </c>
      <c r="G35" s="7" t="n">
        <f aca="false">(F35-F34)/F34</f>
        <v>0.243163121016122</v>
      </c>
      <c r="H35" s="7" t="n">
        <f aca="false">(ABS(C35)*0.4 + ABS(E35)*0.4 + ABS(G35)*0.2)</f>
        <v>0.221855928568451</v>
      </c>
      <c r="I35" s="6" t="n">
        <f aca="false">I34*(1-H35)</f>
        <v>0.000372976526847243</v>
      </c>
      <c r="J35" s="6" t="n">
        <f aca="false">(100-I35)</f>
        <v>99.9996270234732</v>
      </c>
      <c r="K35" s="7" t="n">
        <v>0.024</v>
      </c>
      <c r="L35" s="7" t="n">
        <v>0.021</v>
      </c>
      <c r="M35" s="8" t="n">
        <f aca="false">-H35+K35</f>
        <v>-0.197855928568451</v>
      </c>
    </row>
    <row r="36" customFormat="false" ht="15" hidden="false" customHeight="false" outlineLevel="0" collapsed="false">
      <c r="A36" s="4" t="n">
        <v>2021</v>
      </c>
      <c r="B36" s="5" t="n">
        <v>0.00840896415253715</v>
      </c>
      <c r="C36" s="7" t="n">
        <f aca="false">(B36-B35)/B35</f>
        <v>-0.159103584746285</v>
      </c>
      <c r="D36" s="5" t="n">
        <v>0.0182938243845739</v>
      </c>
      <c r="E36" s="7" t="n">
        <f aca="false">(D36-D35)/D35</f>
        <v>-0.0853087807713055</v>
      </c>
      <c r="F36" s="9" t="n">
        <v>1009.95049383621</v>
      </c>
      <c r="G36" s="7" t="n">
        <f aca="false">(F36-F35)/F35</f>
        <v>0.188177051572009</v>
      </c>
      <c r="H36" s="7" t="n">
        <f aca="false">(ABS(C36)*0.4 + ABS(E36)*0.4 + ABS(G36)*0.2)</f>
        <v>0.135400356521438</v>
      </c>
      <c r="I36" s="6" t="n">
        <f aca="false">I35*(1-H36)</f>
        <v>0.000322475372137999</v>
      </c>
      <c r="J36" s="6" t="n">
        <f aca="false">(100-I36)</f>
        <v>99.9996775246279</v>
      </c>
      <c r="K36" s="7" t="n">
        <v>0.027</v>
      </c>
      <c r="L36" s="7" t="n">
        <v>0.023</v>
      </c>
      <c r="M36" s="8" t="n">
        <f aca="false">-H36+K36</f>
        <v>-0.108400356521438</v>
      </c>
    </row>
    <row r="37" customFormat="false" ht="15" hidden="false" customHeight="false" outlineLevel="0" collapsed="false">
      <c r="A37" s="4" t="n">
        <v>2022</v>
      </c>
      <c r="B37" s="5" t="n">
        <v>0.00707106781186548</v>
      </c>
      <c r="C37" s="7" t="n">
        <f aca="false">(B37-B36)/B36</f>
        <v>-0.159103584746285</v>
      </c>
      <c r="D37" s="5" t="n">
        <v>0.0167332005306815</v>
      </c>
      <c r="E37" s="7" t="n">
        <f aca="false">(D37-D36)/D36</f>
        <v>-0.0853087807713057</v>
      </c>
      <c r="F37" s="9" t="n">
        <v>1200</v>
      </c>
      <c r="G37" s="7" t="n">
        <f aca="false">(F37-F36)/F36</f>
        <v>0.188177051572009</v>
      </c>
      <c r="H37" s="7" t="n">
        <f aca="false">(ABS(C37)*0.4 + ABS(E37)*0.4 + ABS(G37)*0.2)</f>
        <v>0.135400356521438</v>
      </c>
      <c r="I37" s="6" t="n">
        <f aca="false">I36*(1-H37)</f>
        <v>0.00027881209178113</v>
      </c>
      <c r="J37" s="6" t="n">
        <f aca="false">(100-I37)</f>
        <v>99.9997211879082</v>
      </c>
      <c r="K37" s="7" t="n">
        <v>0.032</v>
      </c>
      <c r="L37" s="7" t="n">
        <v>0.029</v>
      </c>
      <c r="M37" s="8" t="n">
        <f aca="false">-H37+K37</f>
        <v>-0.103400356521438</v>
      </c>
    </row>
    <row r="38" customFormat="false" ht="15" hidden="false" customHeight="false" outlineLevel="0" collapsed="false">
      <c r="A38" s="4" t="n">
        <v>2023</v>
      </c>
      <c r="B38" s="5" t="n">
        <v>0.00594603557501361</v>
      </c>
      <c r="C38" s="7" t="n">
        <f aca="false">(B38-B37)/B37</f>
        <v>-0.159103584746286</v>
      </c>
      <c r="D38" s="5" t="n">
        <v>0.0153057115950073</v>
      </c>
      <c r="E38" s="7" t="n">
        <f aca="false">(D38-D37)/D37</f>
        <v>-0.0853087807713053</v>
      </c>
      <c r="F38" s="9" t="n">
        <v>1385.6406460551</v>
      </c>
      <c r="G38" s="7" t="n">
        <f aca="false">(F38-F37)/F37</f>
        <v>0.154700538379252</v>
      </c>
      <c r="H38" s="7" t="n">
        <f aca="false">(ABS(C38)*0.4 + ABS(E38)*0.4 + ABS(G38)*0.2)</f>
        <v>0.128705053882887</v>
      </c>
      <c r="I38" s="6" t="n">
        <f aca="false">I37*(1-H38)</f>
        <v>0.000242927566485239</v>
      </c>
      <c r="J38" s="6" t="n">
        <f aca="false">(100-I38)</f>
        <v>99.9997570724335</v>
      </c>
      <c r="K38" s="7" t="n">
        <v>0.028</v>
      </c>
      <c r="L38" s="7" t="n">
        <v>0.034</v>
      </c>
      <c r="M38" s="8" t="n">
        <f aca="false">-H38+K38</f>
        <v>-0.100705053882887</v>
      </c>
    </row>
    <row r="39" customFormat="false" ht="15" hidden="false" customHeight="false" outlineLevel="0" collapsed="false">
      <c r="A39" s="4" t="n">
        <v>2024</v>
      </c>
      <c r="B39" s="5" t="n">
        <v>0.005</v>
      </c>
      <c r="C39" s="7" t="n">
        <f aca="false">(B39-B38)/B38</f>
        <v>-0.159103584746285</v>
      </c>
      <c r="D39" s="5" t="n">
        <v>0.014</v>
      </c>
      <c r="E39" s="7" t="n">
        <f aca="false">(D39-D38)/D38</f>
        <v>-0.0853087807713057</v>
      </c>
      <c r="F39" s="9" t="n">
        <v>1600</v>
      </c>
      <c r="G39" s="7" t="n">
        <f aca="false">(F39-F38)/F38</f>
        <v>0.154700538379251</v>
      </c>
      <c r="H39" s="7" t="n">
        <f aca="false">(ABS(C39)*0.4 + ABS(E39)*0.4 + ABS(G39)*0.2)</f>
        <v>0.128705053882887</v>
      </c>
      <c r="I39" s="6" t="n">
        <f aca="false">I38*(1-H39)</f>
        <v>0.000211661560951118</v>
      </c>
      <c r="J39" s="6" t="n">
        <f aca="false">(100-I39)</f>
        <v>99.9997883384391</v>
      </c>
      <c r="K39" s="7" t="n">
        <v>0.026</v>
      </c>
      <c r="L39" s="7" t="n">
        <v>0.027</v>
      </c>
      <c r="M39" s="8" t="n">
        <f aca="false">-H39+K39</f>
        <v>-0.102705053882887</v>
      </c>
    </row>
    <row r="41" customFormat="false" ht="15" hidden="false" customHeight="false" outlineLevel="0" collapsed="false">
      <c r="A41" s="10" t="s">
        <v>13</v>
      </c>
    </row>
    <row r="42" customFormat="false" ht="15" hidden="false" customHeight="false" outlineLevel="0" collapsed="false">
      <c r="A42" s="11" t="s">
        <v>14</v>
      </c>
      <c r="B42" s="12" t="n">
        <f aca="false">AVERAGE(H6:H39)</f>
        <v>0.312447016368305</v>
      </c>
    </row>
    <row r="43" customFormat="false" ht="15" hidden="false" customHeight="false" outlineLevel="0" collapsed="false">
      <c r="A43" s="11" t="s">
        <v>15</v>
      </c>
      <c r="B43" s="12" t="n">
        <f aca="false">(100-I39)/100</f>
        <v>0.99999788338439</v>
      </c>
    </row>
    <row r="44" customFormat="false" ht="15" hidden="false" customHeight="false" outlineLevel="0" collapsed="false">
      <c r="A44" s="11" t="s">
        <v>16</v>
      </c>
      <c r="B44" s="7" t="n">
        <f aca="false">AVERAGE(K5:K39)</f>
        <v>0.0642285714285714</v>
      </c>
    </row>
    <row r="45" customFormat="false" ht="15" hidden="false" customHeight="false" outlineLevel="0" collapsed="false">
      <c r="A45" s="11" t="s">
        <v>17</v>
      </c>
      <c r="B45" s="7" t="n">
        <f aca="false">AVERAGE(L5:L39)</f>
        <v>0.027</v>
      </c>
    </row>
    <row r="46" customFormat="false" ht="15" hidden="false" customHeight="false" outlineLevel="0" collapsed="false">
      <c r="A46" s="11" t="s">
        <v>18</v>
      </c>
      <c r="B46" s="13" t="n">
        <f aca="false">-AVERAGE(H6:H39)+AVERAGE(L5:L39)</f>
        <v>-0.285447016368305</v>
      </c>
    </row>
    <row r="49" customFormat="false" ht="15" hidden="false" customHeight="false" outlineLevel="0" collapsed="false">
      <c r="A49" s="10" t="s">
        <v>19</v>
      </c>
    </row>
    <row r="50" customFormat="false" ht="28.35" hidden="false" customHeight="true" outlineLevel="0" collapsed="false">
      <c r="A50" s="14" t="s">
        <v>20</v>
      </c>
      <c r="B50" s="14"/>
      <c r="C50" s="14"/>
      <c r="D50" s="14"/>
    </row>
    <row r="51" customFormat="false" ht="28.35" hidden="false" customHeight="true" outlineLevel="0" collapsed="false">
      <c r="A51" s="14" t="s">
        <v>21</v>
      </c>
      <c r="B51" s="14"/>
      <c r="C51" s="14"/>
      <c r="D51" s="14"/>
    </row>
    <row r="52" customFormat="false" ht="28.35" hidden="false" customHeight="true" outlineLevel="0" collapsed="false">
      <c r="A52" s="14" t="s">
        <v>22</v>
      </c>
      <c r="B52" s="14"/>
      <c r="C52" s="14"/>
      <c r="D52" s="14"/>
    </row>
    <row r="53" customFormat="false" ht="28.35" hidden="false" customHeight="true" outlineLevel="0" collapsed="false">
      <c r="A53" s="14" t="s">
        <v>23</v>
      </c>
      <c r="B53" s="14"/>
      <c r="C53" s="14"/>
      <c r="D53" s="14"/>
    </row>
    <row r="54" customFormat="false" ht="28.35" hidden="false" customHeight="true" outlineLevel="0" collapsed="false">
      <c r="A54" s="14" t="s">
        <v>24</v>
      </c>
      <c r="B54" s="14"/>
      <c r="C54" s="14"/>
      <c r="D54" s="14"/>
    </row>
    <row r="57" customFormat="false" ht="15" hidden="false" customHeight="false" outlineLevel="0" collapsed="false">
      <c r="A57" s="15" t="s">
        <v>25</v>
      </c>
    </row>
    <row r="58" customFormat="false" ht="15" hidden="false" customHeight="true" outlineLevel="0" collapsed="false">
      <c r="A58" s="16" t="s">
        <v>26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</row>
    <row r="59" customFormat="false" ht="15" hidden="false" customHeight="false" outlineLevel="0" collapsed="false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</row>
  </sheetData>
  <mergeCells count="8">
    <mergeCell ref="A1:M1"/>
    <mergeCell ref="A2:M2"/>
    <mergeCell ref="A50:D50"/>
    <mergeCell ref="A51:D51"/>
    <mergeCell ref="A52:D52"/>
    <mergeCell ref="A53:D53"/>
    <mergeCell ref="A54:D54"/>
    <mergeCell ref="A58:M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2025-12-12T16:17:40Z</dcterms:created>
  <dc:creator>openpyxl</dc:creator>
  <dc:description/>
  <dc:language>en-US</dc:language>
  <cp:lastModifiedBy/>
  <dcterms:modified xsi:type="dcterms:W3CDTF">2025-12-12T16:17:40Z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