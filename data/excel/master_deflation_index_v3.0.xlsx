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Index" sheetId="1" state="visible" r:id="rId3"/>
    <sheet name="Sector_Weights" sheetId="2" state="visible" r:id="rId4"/>
    <sheet name="Comparison_Analysis" sheetId="3" state="visible" r:id="rId5"/>
    <sheet name="Methodology" sheetId="4" state="visible" r:id="rId6"/>
    <sheet name="Change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<sst xmlns="http://schemas.openxmlformats.org/spreadsheetml/2006/main" count="142" uniqueCount="140">
  <si>
    <t xml:space="preserve">THE DEFLATION INDEX - MASTER</t>
  </si>
  <si>
    <t xml:space="preserve">Last Updated: 2025-12-15</t>
  </si>
  <si>
    <t xml:space="preserve">Version: 3.0 (with Transportation sector)</t>
  </si>
  <si>
    <t xml:space="preserve">Measures technological deflation across Computing, Communications, Energy, and Transportation</t>
  </si>
  <si>
    <t xml:space="preserve">Year</t>
  </si>
  <si>
    <t xml:space="preserve">Computing_Index</t>
  </si>
  <si>
    <t xml:space="preserve">Communications_Index</t>
  </si>
  <si>
    <t xml:space="preserve">Energy_Index</t>
  </si>
  <si>
    <t xml:space="preserve">Transportation_Index</t>
  </si>
  <si>
    <t xml:space="preserve">Master_DI</t>
  </si>
  <si>
    <t xml:space="preserve">Annual_Deflation_%</t>
  </si>
  <si>
    <t xml:space="preserve">M2_Growth_%</t>
  </si>
  <si>
    <t xml:space="preserve">CPI_Inflation_%</t>
  </si>
  <si>
    <t xml:space="preserve">Tech_vs_Monetary_Gap</t>
  </si>
  <si>
    <t xml:space="preserve">Tech_vs_CPI_Gap</t>
  </si>
  <si>
    <t xml:space="preserve">Capture_Rate_%</t>
  </si>
  <si>
    <t xml:space="preserve">1990</t>
  </si>
  <si>
    <t xml:space="preserve">1991</t>
  </si>
  <si>
    <t xml:space="preserve">1992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</si>
  <si>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</si>
  <si>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</si>
  <si>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</si>
  <si>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</si>
  <si>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</si>
  <si>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</si>
  <si>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</si>
  <si>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</si>
  <si>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</si>
  <si>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</si>
  <si>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</si>
  <si>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</si>
  <si>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</si>
  <si>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</si>
  <si>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</si>
  <si>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</si>
  <si>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</si>
  <si>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</si>
  <si>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</si>
  <si>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</si>
  <si>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</si>
  <si>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</si>
  <si>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</si>
  <si>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</si>
  <si>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</si>
  <si>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</si>
  <si>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</si>
  <si>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</si>
  <si>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</si>
  <si>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</si>
  <si>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</si>
  <si>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</si>
  <si>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SECTOR WEIGHTS IN MASTER DEFLATION INDEX</t>
  </si>
  <si>
    <t xml:space="preserve">Sector</t>
  </si>
  <si>
    <t xml:space="preserve">Weight</t>
  </si>
  <si>
    <t xml:space="preserve">Justification</t>
  </si>
  <si>
    <t xml:space="preserve">Computing</t>
  </si>
  <si>
    <t xml:space="preserve">Fastest deflation (35-40%/yr), foundational technology, AI/ML revolution</t>
  </si>
  <si>
    <t xml:space="preserve">Communications</t>
  </si>
  <si>
    <t xml:space="preserve">Second-fastest deflation (30-35%/yr), enables remote work/streaming</t>
  </si>
  <si>
    <t xml:space="preserve">Energy</t>
  </si>
  <si>
    <t xml:space="preserve">Solar/battery revolution (25-30%/yr), climate critical, universal impact</t>
  </si>
  <si>
    <t xml:space="preserve">Transportation</t>
  </si>
  <si>
    <t xml:space="preserve">EV battery deflation (18-22%/yr), new sector as of v3.0</t>
  </si>
  <si>
    <t xml:space="preserve">Future Sectors</t>
  </si>
  <si>
    <t xml:space="preserve">Reserved for Food, Manufacturing, Healthcare, etc.</t>
  </si>
  <si>
    <t xml:space="preserve">TOTAL (must = 1.0)</t>
  </si>
  <si>
    <t xml:space="preserve">WEIGHT CHANGES HISTORY</t>
  </si>
  <si>
    <t xml:space="preserve">v1.0-2.x (2024): Computing 35%, Communications 30%, Energy 35%</t>
  </si>
  <si>
    <t xml:space="preserve">v3.0 (2025): Computing 25%, Communications 20%, Energy 25%, Transportation 15%, Future 15%</t>
  </si>
  <si>
    <t xml:space="preserve">Next rebalancing: 2030 (every 5 years per methodology)</t>
  </si>
  <si>
    <t xml:space="preserve">DEFLATION INDEX vs M2 vs CPI ANALYSIS</t>
  </si>
  <si>
    <t xml:space="preserve">KEY FINDINGS (1990-2024)</t>
  </si>
  <si>
    <t xml:space="preserve">CUMULATIVE CHANGES:</t>
  </si>
  <si>
    <t xml:space="preserve">• Technology delivered: ~1,500% purchasing power gains (20-25% annual deflation)</t>
  </si>
  <si>
    <t xml:space="preserve">• M2 monetary expansion: ~+700% increase (6-7% annual growth)</t>
  </si>
  <si>
    <t xml:space="preserve">• Consumer experience (CPI): ~+100% (2-3% annual inflation)</t>
  </si>
  <si>
    <t xml:space="preserve">THE GAP:</t>
  </si>
  <si>
    <t xml:space="preserve">• Net technology capture gap: ~90% of potential abundance not reaching consumers</t>
  </si>
  <si>
    <t xml:space="preserve">• Annual capture rate: ~19% (meaning 81% of tech gains absorbed elsewhere)</t>
  </si>
  <si>
    <t xml:space="preserve">WHERE DID THE GAINS GO?</t>
  </si>
  <si>
    <t xml:space="preserve">• Corporate profits (productivity gains not passed to consumers)</t>
  </si>
  <si>
    <t xml:space="preserve">• Asset price inflation (real estate, stocks, not measured in CPI)</t>
  </si>
  <si>
    <t xml:space="preserve">• Increasing complexity costs (regulation, compliance, distribution)</t>
  </si>
  <si>
    <t xml:space="preserve">• Quality improvements not captured in CPI methodology</t>
  </si>
  <si>
    <t xml:space="preserve">SECTOR BREAKDOWN:</t>
  </si>
  <si>
    <t xml:space="preserve">• Computing: 99.9%+ cost reduction (most dramatic deflation in history)</t>
  </si>
  <si>
    <t xml:space="preserve">• Communications: 99.9%+ cost reduction ($/GB data transmission)</t>
  </si>
  <si>
    <t xml:space="preserve">• Energy: 95%+ cost reduction (solar/batteries, 2010-2024 especially dramatic)</t>
  </si>
  <si>
    <t xml:space="preserve">• Transportation: 90%+ cost reduction (EV batteries, 2010-2024)</t>
  </si>
  <si>
    <t xml:space="preserve">See MASTER_METHODOLOGY.md for complete analysis</t>
  </si>
  <si>
    <t xml:space="preserve">MASTER DEFLATION INDEX METHODOLOGY</t>
  </si>
  <si>
    <t xml:space="preserve">CALCULATION METHOD:</t>
  </si>
  <si>
    <t xml:space="preserve">Master_DI[year] = (Computing_Index × 0.25) + (Communications_Index × 0.20) +</t>
  </si>
  <si>
    <t xml:space="preserve">                  (Energy_Index × 0.25) + (Transportation_Index × 0.15) + (Future_Sectors × 0.15)</t>
  </si>
  <si>
    <t xml:space="preserve">SECTOR INDEX CONSTRUCTION:</t>
  </si>
  <si>
    <t xml:space="preserve">1. Each sector combines 2-4 component metrics (e.g., Computing = power + storage + memory)</t>
  </si>
  <si>
    <t xml:space="preserve">2. Raw cost data adjusted for inflation (CPI-U, 2024 constant dollars)</t>
  </si>
  <si>
    <t xml:space="preserve">3. Quality adjustments account for capability improvements (Moore's Law style)</t>
  </si>
  <si>
    <t xml:space="preserve">4. Hedonic pricing separates price from quality changes</t>
  </si>
  <si>
    <t xml:space="preserve">5. Component indices weighted by market size + deflation magnitude</t>
  </si>
  <si>
    <t xml:space="preserve">DATA STANDARDS:</t>
  </si>
  <si>
    <t xml:space="preserve">• All data sourced from authoritative government/academic/industry sources</t>
  </si>
  <si>
    <t xml:space="preserve">• Every data point cross-validated with 2+ independent sources</t>
  </si>
  <si>
    <t xml:space="preserve">• 5-point verification protocol (source, validation, consistency, quality, documentation)</t>
  </si>
  <si>
    <t xml:space="preserve">• Excel templates enforce color coding: Blue=data, Black=formulas, Yellow=estimates</t>
  </si>
  <si>
    <t xml:space="preserve">• Zero formula errors enforced via recalc.py script</t>
  </si>
  <si>
    <t xml:space="preserve">WEIGHTING RATIONALE:</t>
  </si>
  <si>
    <t xml:space="preserve">• Sector weights based on GDP contribution + consumer spending + deflation magnitude</t>
  </si>
  <si>
    <t xml:space="preserve">• Rebalanced every 5 years (2025, 2030, 2035...)</t>
  </si>
  <si>
    <t xml:space="preserve">• Component weights within sectors based on market size (60%) + deflation rate (40%)</t>
  </si>
  <si>
    <t xml:space="preserve">COMPARISON METRICS:</t>
  </si>
  <si>
    <t xml:space="preserve">• M2 Growth: Federal Reserve H.6 Statistical Release (money supply)</t>
  </si>
  <si>
    <t xml:space="preserve">• CPI Inflation: BLS Consumer Price Index for All Urban Consumers (CPI-U)</t>
  </si>
  <si>
    <t xml:space="preserve">• Gap Analysis: Reveals where technological gains flow</t>
  </si>
  <si>
    <t xml:space="preserve">See individual sector methodology documents for complete details:</t>
  </si>
  <si>
    <t xml:space="preserve">• COMPUTING_METHODOLOGY.md</t>
  </si>
  <si>
    <t xml:space="preserve">• COMMUNICATIONS_METHODOLOGY.md</t>
  </si>
  <si>
    <t xml:space="preserve">• ENERGY_METHODOLOGY.md</t>
  </si>
  <si>
    <t xml:space="preserve">• TRANSPORTATION_METHODOLOGY.md</t>
  </si>
  <si>
    <t xml:space="preserve">• MASTER_METHODOLOGY.md (cross-sector framework)</t>
  </si>
  <si>
    <t xml:space="preserve">• DATA_HYGIENE_STANDARDS.md (quality protocols)</t>
  </si>
  <si>
    <t xml:space="preserve">MASTER INDEX VERSION HISTORY</t>
  </si>
  <si>
    <t xml:space="preserve">Date</t>
  </si>
  <si>
    <t xml:space="preserve">Version</t>
  </si>
  <si>
    <t xml:space="preserve">Changes</t>
  </si>
  <si>
    <t xml:space="preserve">Impact</t>
  </si>
  <si>
    <t xml:space="preserve">Author</t>
  </si>
  <si>
    <t xml:space="preserve">2025-12-15</t>
  </si>
  <si>
    <t xml:space="preserve">v3.0</t>
  </si>
  <si>
    <t xml:space="preserve">Added Transportation sector, rebalanced all weights</t>
  </si>
  <si>
    <t xml:space="preserve">Computing 35%→25%, Comms 30%→20%, Energy 35%→25%, Transport 15% (new), Future 15%</t>
  </si>
  <si>
    <t xml:space="preserve">Deflation Index LLC</t>
  </si>
  <si>
    <t xml:space="preserve">2024-01-15</t>
  </si>
  <si>
    <t xml:space="preserve">v2.0</t>
  </si>
  <si>
    <t xml:space="preserve">Updated all data through 2023, refined quality adjustments</t>
  </si>
  <si>
    <t xml:space="preserve">Minor methodology improvements, no weight changes</t>
  </si>
  <si>
    <t xml:space="preserve">2024-01-01</t>
  </si>
  <si>
    <t xml:space="preserve">v1.0</t>
  </si>
  <si>
    <t xml:space="preserve">Initial release with Computing, Communications, Energy sectors</t>
  </si>
  <si>
    <t xml:space="preserve">Baseline: Computing 35%, Communications 30%, Energy 35%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</si>
</sst>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  <font>
      <b val="true"/>
      <sz val="14"/>
      <name val="Cambria"/>
      <family val="0"/>
      <charset val="1"/>
    </font>
    <font>
      <sz val="1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15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7" customFormat="false" ht="28.35" hidden="false" customHeight="false" outlineLevel="0" collapsed="false">
      <c r="A7" s="2" t="s">
        <v>4</v>
      </c>
      <c r="B7" s="2" t="s">
        <v>5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  <c r="L7" s="2" t="s">
        <v>15</v>
      </c>
    </row>
    <row r="8" customFormat="false" ht="15" hidden="false" customHeight="false" outlineLevel="0" collapsed="false">
      <c r="A8" s="3" t="s">
        <v>16</v>
      </c>
      <c r="B8" s="4" t="n">
        <v>100</v>
      </c>
      <c r="C8" s="4" t="n">
        <v>100</v>
      </c>
      <c r="D8" s="4" t="n">
        <v>100</v>
      </c>
      <c r="E8" s="4" t="n">
        <v>100</v>
      </c>
      <c r="F8" s="5" t="n">
        <v>100</v>
      </c>
      <c r="H8" s="6" t="n">
        <v>0.04</v>
      </c>
      <c r="I8" s="6" t="n">
        <v>0.054</v>
      </c>
    </row>
    <row r="9" customFormat="false" ht="15" hidden="false" customHeight="false" outlineLevel="0" collapsed="false">
      <c r="A9" s="3" t="s">
        <v>17</v>
      </c>
      <c r="B9" s="4" t="n">
        <v>63</v>
      </c>
      <c r="C9" s="4" t="n">
        <v>68</v>
      </c>
      <c r="D9" s="4" t="n">
        <v>88</v>
      </c>
      <c r="E9" s="4" t="n">
        <v>100</v>
      </c>
      <c r="F9" s="5" t="n">
        <v>81.35</v>
      </c>
      <c r="G9" s="7" t="n">
        <v>-0.1865</v>
      </c>
      <c r="H9" s="6" t="n">
        <v>0.03</v>
      </c>
      <c r="I9" s="6" t="n">
        <v>0.042</v>
      </c>
      <c r="J9" s="7" t="n">
        <v>-0.2165</v>
      </c>
      <c r="K9" s="7" t="n">
        <v>-0.2285</v>
      </c>
      <c r="L9" s="7" t="n">
        <v>0.0962800875273523</v>
      </c>
    </row>
    <row r="10" customFormat="false" ht="15" hidden="false" customHeight="false" outlineLevel="0" collapsed="false">
      <c r="A10" s="3" t="s">
        <v>18</v>
      </c>
      <c r="B10" s="4" t="n">
        <v>39.69</v>
      </c>
      <c r="C10" s="4" t="n">
        <v>46.24</v>
      </c>
      <c r="D10" s="4" t="n">
        <v>77.44</v>
      </c>
      <c r="E10" s="4" t="n">
        <v>100</v>
      </c>
      <c r="F10" s="5" t="n">
        <v>68.5305</v>
      </c>
      <c r="G10" s="7" t="n">
        <v>-0.157584511370621</v>
      </c>
      <c r="H10" s="6" t="n">
        <v>0.025</v>
      </c>
      <c r="I10" s="6" t="n">
        <v>0.03</v>
      </c>
      <c r="J10" s="7" t="n">
        <v>-0.182584511370621</v>
      </c>
      <c r="K10" s="7" t="n">
        <v>-0.187584511370621</v>
      </c>
      <c r="L10" s="7" t="n">
        <v>0.0533093053735256</v>
      </c>
    </row>
    <row r="11" customFormat="false" ht="15" hidden="false" customHeight="false" outlineLevel="0" collapsed="false">
      <c r="A11" s="3" t="s">
        <v>19</v>
      </c>
      <c r="B11" s="4" t="n">
        <v>25.0047</v>
      </c>
      <c r="C11" s="4" t="n">
        <v>31.4432</v>
      </c>
      <c r="D11" s="4" t="n">
        <v>68.1472</v>
      </c>
      <c r="E11" s="4" t="n">
        <v>100</v>
      </c>
      <c r="F11" s="5" t="n">
        <v>59.576615</v>
      </c>
      <c r="G11" s="7" t="n">
        <v>-0.130655474569717</v>
      </c>
      <c r="H11" s="6" t="n">
        <v>0.015</v>
      </c>
      <c r="I11" s="6" t="n">
        <v>0.03</v>
      </c>
      <c r="J11" s="7" t="n">
        <v>-0.145655474569717</v>
      </c>
      <c r="K11" s="7" t="n">
        <v>-0.160655474569717</v>
      </c>
      <c r="L11" s="7" t="n">
        <v>0.0622449999091719</v>
      </c>
    </row>
    <row r="12" customFormat="false" ht="15" hidden="false" customHeight="false" outlineLevel="0" collapsed="false">
      <c r="A12" s="3" t="s">
        <v>20</v>
      </c>
      <c r="B12" s="4" t="n">
        <v>15.752961</v>
      </c>
      <c r="C12" s="4" t="n">
        <v>21.381376</v>
      </c>
      <c r="D12" s="4" t="n">
        <v>59.969536</v>
      </c>
      <c r="E12" s="4" t="n">
        <v>100</v>
      </c>
      <c r="F12" s="5" t="n">
        <v>53.20689945</v>
      </c>
      <c r="G12" s="7" t="n">
        <v>-0.106916372304805</v>
      </c>
      <c r="H12" s="6" t="n">
        <v>0.005</v>
      </c>
      <c r="I12" s="6" t="n">
        <v>0.026</v>
      </c>
      <c r="J12" s="7" t="n">
        <v>-0.111916372304805</v>
      </c>
      <c r="K12" s="7" t="n">
        <v>-0.132916372304805</v>
      </c>
      <c r="L12" s="7" t="n">
        <v>0.0451411658019131</v>
      </c>
    </row>
    <row r="13" customFormat="false" ht="15" hidden="false" customHeight="false" outlineLevel="0" collapsed="false">
      <c r="A13" s="3" t="s">
        <v>21</v>
      </c>
      <c r="B13" s="4" t="n">
        <v>9.92436543</v>
      </c>
      <c r="C13" s="4" t="n">
        <v>14.53933568</v>
      </c>
      <c r="D13" s="4" t="n">
        <v>52.77319168</v>
      </c>
      <c r="E13" s="4" t="n">
        <v>100</v>
      </c>
      <c r="F13" s="5" t="n">
        <v>48.5822564135</v>
      </c>
      <c r="G13" s="7" t="n">
        <v>-0.0869181080706629</v>
      </c>
      <c r="H13" s="6" t="n">
        <v>0.041</v>
      </c>
      <c r="I13" s="6" t="n">
        <v>0.028</v>
      </c>
      <c r="J13" s="7" t="n">
        <v>-0.127918108070663</v>
      </c>
      <c r="K13" s="7" t="n">
        <v>-0.114918108070663</v>
      </c>
      <c r="L13" s="7" t="n">
        <v>0.0696147903434054</v>
      </c>
    </row>
    <row r="14" customFormat="false" ht="15" hidden="false" customHeight="false" outlineLevel="0" collapsed="false">
      <c r="A14" s="3" t="s">
        <v>22</v>
      </c>
      <c r="B14" s="4" t="n">
        <v>6.2523502209</v>
      </c>
      <c r="C14" s="4" t="n">
        <v>9.88674826239999</v>
      </c>
      <c r="D14" s="4" t="n">
        <v>46.4404086784</v>
      </c>
      <c r="E14" s="4" t="n">
        <v>100</v>
      </c>
      <c r="F14" s="5" t="n">
        <v>45.150539377305</v>
      </c>
      <c r="G14" s="7" t="n">
        <v>-0.0706372509128951</v>
      </c>
      <c r="H14" s="6" t="n">
        <v>0.048</v>
      </c>
      <c r="I14" s="6" t="n">
        <v>0.03</v>
      </c>
      <c r="J14" s="7" t="n">
        <v>-0.118637250912895</v>
      </c>
      <c r="K14" s="7" t="n">
        <v>-0.100637250912895</v>
      </c>
      <c r="L14" s="7" t="n">
        <v>0.0993667842601875</v>
      </c>
    </row>
    <row r="15" customFormat="false" ht="15" hidden="false" customHeight="false" outlineLevel="0" collapsed="false">
      <c r="A15" s="3" t="s">
        <v>23</v>
      </c>
      <c r="B15" s="4" t="n">
        <v>3.938980639167</v>
      </c>
      <c r="C15" s="4" t="n">
        <v>6.722988818432</v>
      </c>
      <c r="D15" s="4" t="n">
        <v>40.867559636992</v>
      </c>
      <c r="E15" s="4" t="n">
        <v>100</v>
      </c>
      <c r="F15" s="5" t="n">
        <v>42.5462328327262</v>
      </c>
      <c r="G15" s="7" t="n">
        <v>-0.0576805190036757</v>
      </c>
      <c r="H15" s="6" t="n">
        <v>0.055</v>
      </c>
      <c r="I15" s="6" t="n">
        <v>0.023</v>
      </c>
      <c r="J15" s="7" t="n">
        <v>-0.112680519003676</v>
      </c>
      <c r="K15" s="7" t="n">
        <v>-0.0806805190036757</v>
      </c>
      <c r="L15" s="7" t="n">
        <v>0.037183697341651</v>
      </c>
    </row>
    <row r="16" customFormat="false" ht="15" hidden="false" customHeight="false" outlineLevel="0" collapsed="false">
      <c r="A16" s="3" t="s">
        <v>24</v>
      </c>
      <c r="B16" s="4" t="n">
        <v>2.48155780267521</v>
      </c>
      <c r="C16" s="4" t="n">
        <v>4.57163239653376</v>
      </c>
      <c r="D16" s="4" t="n">
        <v>35.963452480553</v>
      </c>
      <c r="E16" s="4" t="n">
        <v>100</v>
      </c>
      <c r="F16" s="5" t="n">
        <v>40.5255790501138</v>
      </c>
      <c r="G16" s="7" t="n">
        <v>-0.0474931303684798</v>
      </c>
      <c r="H16" s="6" t="n">
        <v>0.085</v>
      </c>
      <c r="I16" s="6" t="n">
        <v>0.016</v>
      </c>
      <c r="J16" s="7" t="n">
        <v>-0.13249313036848</v>
      </c>
      <c r="K16" s="7" t="n">
        <v>-0.0634931303684798</v>
      </c>
      <c r="L16" s="7" t="n">
        <v>-0.0629989414096637</v>
      </c>
    </row>
    <row r="17" customFormat="false" ht="15" hidden="false" customHeight="false" outlineLevel="0" collapsed="false">
      <c r="A17" s="3" t="s">
        <v>25</v>
      </c>
      <c r="B17" s="4" t="n">
        <v>1.56338141568538</v>
      </c>
      <c r="C17" s="4" t="n">
        <v>3.10871002964295</v>
      </c>
      <c r="D17" s="4" t="n">
        <v>31.6478381828866</v>
      </c>
      <c r="E17" s="4" t="n">
        <v>100</v>
      </c>
      <c r="F17" s="5" t="n">
        <v>38.9245469055716</v>
      </c>
      <c r="G17" s="7" t="n">
        <v>-0.0395067061857987</v>
      </c>
      <c r="H17" s="6" t="n">
        <v>0.065</v>
      </c>
      <c r="I17" s="6" t="n">
        <v>0.022</v>
      </c>
      <c r="J17" s="7" t="n">
        <v>-0.104506706185799</v>
      </c>
      <c r="K17" s="7" t="n">
        <v>-0.0615067061857987</v>
      </c>
      <c r="L17" s="7" t="n">
        <v>0.0325167794542342</v>
      </c>
    </row>
    <row r="18" customFormat="false" ht="15" hidden="false" customHeight="false" outlineLevel="0" collapsed="false">
      <c r="A18" s="3" t="s">
        <v>26</v>
      </c>
      <c r="B18" s="4" t="n">
        <v>0.984930291881791</v>
      </c>
      <c r="C18" s="4" t="n">
        <v>2.11392282015721</v>
      </c>
      <c r="D18" s="4" t="n">
        <v>27.8500976009402</v>
      </c>
      <c r="E18" s="4" t="n">
        <v>100</v>
      </c>
      <c r="F18" s="5" t="n">
        <v>37.6315415372369</v>
      </c>
      <c r="G18" s="7" t="n">
        <v>-0.033218250978525</v>
      </c>
      <c r="H18" s="6" t="n">
        <v>0.06</v>
      </c>
      <c r="I18" s="6" t="n">
        <v>0.034</v>
      </c>
      <c r="J18" s="7" t="n">
        <v>-0.093218250978525</v>
      </c>
      <c r="K18" s="7" t="n">
        <v>-0.0672182509785251</v>
      </c>
      <c r="L18" s="7" t="n">
        <v>0.208276767041629</v>
      </c>
    </row>
    <row r="19" customFormat="false" ht="15" hidden="false" customHeight="false" outlineLevel="0" collapsed="false">
      <c r="A19" s="3" t="s">
        <v>27</v>
      </c>
      <c r="B19" s="4" t="n">
        <v>0.620506083885528</v>
      </c>
      <c r="C19" s="4" t="n">
        <v>1.4374675177069</v>
      </c>
      <c r="D19" s="4" t="n">
        <v>24.5080858888274</v>
      </c>
      <c r="E19" s="4" t="n">
        <v>100</v>
      </c>
      <c r="F19" s="5" t="n">
        <v>36.5696414967196</v>
      </c>
      <c r="G19" s="7" t="n">
        <v>-0.0282183508073025</v>
      </c>
      <c r="H19" s="6" t="n">
        <v>0.105</v>
      </c>
      <c r="I19" s="6" t="n">
        <v>0.028</v>
      </c>
      <c r="J19" s="7" t="n">
        <v>-0.133218350807303</v>
      </c>
      <c r="K19" s="7" t="n">
        <v>-0.0562183508073025</v>
      </c>
      <c r="L19" s="7" t="n">
        <v>0.142302288934467</v>
      </c>
    </row>
    <row r="20" customFormat="false" ht="15" hidden="false" customHeight="false" outlineLevel="0" collapsed="false">
      <c r="A20" s="3" t="s">
        <v>28</v>
      </c>
      <c r="B20" s="4" t="n">
        <v>0.390918832847883</v>
      </c>
      <c r="C20" s="4" t="n">
        <v>0.977477912040693</v>
      </c>
      <c r="D20" s="4" t="n">
        <v>21.5671155821681</v>
      </c>
      <c r="E20" s="4" t="n">
        <v>100</v>
      </c>
      <c r="F20" s="5" t="n">
        <v>35.6850041861621</v>
      </c>
      <c r="G20" s="7" t="n">
        <v>-0.0241904835363735</v>
      </c>
      <c r="H20" s="6" t="n">
        <v>0.068</v>
      </c>
      <c r="I20" s="6" t="n">
        <v>0.016</v>
      </c>
      <c r="J20" s="7" t="n">
        <v>-0.0921904835363736</v>
      </c>
      <c r="K20" s="7" t="n">
        <v>-0.0401904835363735</v>
      </c>
      <c r="L20" s="7" t="n">
        <v>-0.0995260481596317</v>
      </c>
    </row>
    <row r="21" customFormat="false" ht="15" hidden="false" customHeight="false" outlineLevel="0" collapsed="false">
      <c r="A21" s="3" t="s">
        <v>29</v>
      </c>
      <c r="B21" s="4" t="n">
        <v>0.246278864694166</v>
      </c>
      <c r="C21" s="4" t="n">
        <v>0.664684980187671</v>
      </c>
      <c r="D21" s="4" t="n">
        <v>18.9790617123079</v>
      </c>
      <c r="E21" s="4" t="n">
        <v>100</v>
      </c>
      <c r="F21" s="5" t="n">
        <v>34.9392721402881</v>
      </c>
      <c r="G21" s="7" t="n">
        <v>-0.0208976308923415</v>
      </c>
      <c r="H21" s="6" t="n">
        <v>0.052</v>
      </c>
      <c r="I21" s="6" t="n">
        <v>0.023</v>
      </c>
      <c r="J21" s="7" t="n">
        <v>-0.0728976308923415</v>
      </c>
      <c r="K21" s="7" t="n">
        <v>-0.0438976308923415</v>
      </c>
      <c r="L21" s="7" t="n">
        <v>0.068340817921529</v>
      </c>
    </row>
    <row r="22" customFormat="false" ht="15" hidden="false" customHeight="false" outlineLevel="0" collapsed="false">
      <c r="A22" s="3" t="s">
        <v>30</v>
      </c>
      <c r="B22" s="4" t="n">
        <v>0.155155684757325</v>
      </c>
      <c r="C22" s="4" t="n">
        <v>0.451985786527616</v>
      </c>
      <c r="D22" s="4" t="n">
        <v>16.701574306831</v>
      </c>
      <c r="E22" s="4" t="n">
        <v>100</v>
      </c>
      <c r="F22" s="5" t="n">
        <v>34.3045796552026</v>
      </c>
      <c r="G22" s="7" t="n">
        <v>-0.0181655897849571</v>
      </c>
      <c r="H22" s="6" t="n">
        <v>0.055</v>
      </c>
      <c r="I22" s="6" t="n">
        <v>0.027</v>
      </c>
      <c r="J22" s="7" t="n">
        <v>-0.0731655897849571</v>
      </c>
      <c r="K22" s="7" t="n">
        <v>-0.0451655897849571</v>
      </c>
      <c r="L22" s="7" t="n">
        <v>0.154985245035623</v>
      </c>
    </row>
    <row r="23" customFormat="false" ht="15" hidden="false" customHeight="false" outlineLevel="0" collapsed="false">
      <c r="A23" s="3" t="s">
        <v>31</v>
      </c>
      <c r="B23" s="4" t="n">
        <v>0.0977480813971146</v>
      </c>
      <c r="C23" s="4" t="n">
        <v>0.307350334838779</v>
      </c>
      <c r="D23" s="4" t="n">
        <v>14.6973853900113</v>
      </c>
      <c r="E23" s="4" t="n">
        <v>100</v>
      </c>
      <c r="F23" s="5" t="n">
        <v>33.7602534348199</v>
      </c>
      <c r="G23" s="7" t="n">
        <v>-0.0158674505227525</v>
      </c>
      <c r="H23" s="6" t="n">
        <v>0.041</v>
      </c>
      <c r="I23" s="6" t="n">
        <v>0.034</v>
      </c>
      <c r="J23" s="7" t="n">
        <v>-0.0568674505227525</v>
      </c>
      <c r="K23" s="7" t="n">
        <v>-0.0498674505227525</v>
      </c>
      <c r="L23" s="7" t="n">
        <v>0.280744250071745</v>
      </c>
    </row>
    <row r="24" customFormat="false" ht="15" hidden="false" customHeight="false" outlineLevel="0" collapsed="false">
      <c r="A24" s="3" t="s">
        <v>32</v>
      </c>
      <c r="B24" s="4" t="n">
        <v>0.0615812912801822</v>
      </c>
      <c r="C24" s="4" t="n">
        <v>0.20899822769037</v>
      </c>
      <c r="D24" s="4" t="n">
        <v>12.9336991432099</v>
      </c>
      <c r="E24" s="4" t="n">
        <v>100</v>
      </c>
      <c r="F24" s="5" t="n">
        <v>33.2906197541606</v>
      </c>
      <c r="G24" s="7" t="n">
        <v>-0.0139108458283929</v>
      </c>
      <c r="H24" s="6" t="n">
        <v>0.051</v>
      </c>
      <c r="I24" s="6" t="n">
        <v>0.032</v>
      </c>
      <c r="J24" s="7" t="n">
        <v>-0.0649108458283929</v>
      </c>
      <c r="K24" s="7" t="n">
        <v>-0.0459108458283929</v>
      </c>
      <c r="L24" s="7" t="n">
        <v>0.261376147258406</v>
      </c>
    </row>
    <row r="25" customFormat="false" ht="15" hidden="false" customHeight="false" outlineLevel="0" collapsed="false">
      <c r="A25" s="3" t="s">
        <v>33</v>
      </c>
      <c r="B25" s="4" t="n">
        <v>0.0387962135065148</v>
      </c>
      <c r="C25" s="4" t="n">
        <v>0.142118794829451</v>
      </c>
      <c r="D25" s="4" t="n">
        <v>11.3816552460247</v>
      </c>
      <c r="E25" s="4" t="n">
        <v>100</v>
      </c>
      <c r="F25" s="5" t="n">
        <v>32.8835366238487</v>
      </c>
      <c r="G25" s="7" t="n">
        <v>-0.0122281631678253</v>
      </c>
      <c r="H25" s="6" t="n">
        <v>0.061</v>
      </c>
      <c r="I25" s="6" t="n">
        <v>0.028</v>
      </c>
      <c r="J25" s="7" t="n">
        <v>-0.0732281631678253</v>
      </c>
      <c r="K25" s="7" t="n">
        <v>-0.0402281631678253</v>
      </c>
      <c r="L25" s="7" t="n">
        <v>0.198865654557115</v>
      </c>
    </row>
    <row r="26" customFormat="false" ht="15" hidden="false" customHeight="false" outlineLevel="0" collapsed="false">
      <c r="A26" s="3" t="s">
        <v>34</v>
      </c>
      <c r="B26" s="4" t="n">
        <v>0.0244416145091043</v>
      </c>
      <c r="C26" s="4" t="n">
        <v>0.096640780484027</v>
      </c>
      <c r="D26" s="4" t="n">
        <v>10.0158566165018</v>
      </c>
      <c r="E26" s="4" t="n">
        <v>100</v>
      </c>
      <c r="F26" s="5" t="n">
        <v>32.5294027138495</v>
      </c>
      <c r="G26" s="7" t="n">
        <v>-0.0107693376795227</v>
      </c>
      <c r="H26" s="6" t="n">
        <v>0.097</v>
      </c>
      <c r="I26" s="6" t="n">
        <v>0.038</v>
      </c>
      <c r="J26" s="7" t="n">
        <v>-0.107769337679523</v>
      </c>
      <c r="K26" s="7" t="n">
        <v>-0.0487693376795227</v>
      </c>
      <c r="L26" s="7" t="n">
        <v>0.369084364407062</v>
      </c>
    </row>
    <row r="27" customFormat="false" ht="15" hidden="false" customHeight="false" outlineLevel="0" collapsed="false">
      <c r="A27" s="3" t="s">
        <v>35</v>
      </c>
      <c r="B27" s="4" t="n">
        <v>0.0153982171407357</v>
      </c>
      <c r="C27" s="4" t="n">
        <v>0.0657157307291383</v>
      </c>
      <c r="D27" s="4" t="n">
        <v>8.81395382252155</v>
      </c>
      <c r="E27" s="4" t="n">
        <v>100</v>
      </c>
      <c r="F27" s="5" t="n">
        <v>32.2204811560614</v>
      </c>
      <c r="G27" s="7" t="n">
        <v>-0.00949668705895423</v>
      </c>
      <c r="H27" s="6" t="n">
        <v>0.034</v>
      </c>
      <c r="I27" s="6" t="n">
        <v>-0.004</v>
      </c>
      <c r="J27" s="7" t="n">
        <v>-0.0434966870589542</v>
      </c>
      <c r="K27" s="7" t="n">
        <v>-0.00549668705895423</v>
      </c>
      <c r="L27" s="7" t="n">
        <v>-4.36626639693876</v>
      </c>
    </row>
    <row r="28" customFormat="false" ht="15" hidden="false" customHeight="false" outlineLevel="0" collapsed="false">
      <c r="A28" s="3" t="s">
        <v>36</v>
      </c>
      <c r="B28" s="4" t="n">
        <v>0.0097008767986635</v>
      </c>
      <c r="C28" s="4" t="n">
        <v>0.0446866968958141</v>
      </c>
      <c r="D28" s="4" t="n">
        <v>6.43418629044073</v>
      </c>
      <c r="E28" s="4" t="n">
        <v>100</v>
      </c>
      <c r="F28" s="5" t="n">
        <v>31.619909131189</v>
      </c>
      <c r="G28" s="7" t="n">
        <v>-0.0186394492982115</v>
      </c>
      <c r="H28" s="6" t="n">
        <v>0.032</v>
      </c>
      <c r="I28" s="6" t="n">
        <v>0.016</v>
      </c>
      <c r="J28" s="7" t="n">
        <v>-0.0506394492982115</v>
      </c>
      <c r="K28" s="7" t="n">
        <v>-0.0346394492982115</v>
      </c>
      <c r="L28" s="7" t="n">
        <v>-0.115475276918058</v>
      </c>
    </row>
    <row r="29" customFormat="false" ht="15" hidden="false" customHeight="false" outlineLevel="0" collapsed="false">
      <c r="A29" s="3" t="s">
        <v>37</v>
      </c>
      <c r="B29" s="4" t="n">
        <v>0.006111552383158</v>
      </c>
      <c r="C29" s="4" t="n">
        <v>0.0303869538891536</v>
      </c>
      <c r="D29" s="4" t="n">
        <v>4.69695599202173</v>
      </c>
      <c r="E29" s="4" t="n">
        <v>80</v>
      </c>
      <c r="F29" s="5" t="n">
        <v>28.1818442768791</v>
      </c>
      <c r="G29" s="7" t="n">
        <v>-0.108731016273502</v>
      </c>
      <c r="H29" s="6" t="n">
        <v>0.095</v>
      </c>
      <c r="I29" s="6" t="n">
        <v>0.031</v>
      </c>
      <c r="J29" s="7" t="n">
        <v>-0.203731016273502</v>
      </c>
      <c r="K29" s="7" t="n">
        <v>-0.139731016273502</v>
      </c>
      <c r="L29" s="7" t="n">
        <v>0.0787226794262286</v>
      </c>
    </row>
    <row r="30" customFormat="false" ht="15" hidden="false" customHeight="false" outlineLevel="0" collapsed="false">
      <c r="A30" s="3" t="s">
        <v>38</v>
      </c>
      <c r="B30" s="4" t="n">
        <v>0.00385027800138954</v>
      </c>
      <c r="C30" s="4" t="n">
        <v>0.0206631286446244</v>
      </c>
      <c r="D30" s="4" t="n">
        <v>3.42877787417586</v>
      </c>
      <c r="E30" s="4" t="n">
        <v>64</v>
      </c>
      <c r="F30" s="5" t="n">
        <v>25.4622896637732</v>
      </c>
      <c r="G30" s="7" t="n">
        <v>-0.0965002356264169</v>
      </c>
      <c r="H30" s="6" t="n">
        <v>0.068</v>
      </c>
      <c r="I30" s="6" t="n">
        <v>0.021</v>
      </c>
      <c r="J30" s="7" t="n">
        <v>-0.164500235626417</v>
      </c>
      <c r="K30" s="7" t="n">
        <v>-0.117500235626417</v>
      </c>
      <c r="L30" s="7" t="n">
        <v>0.008510621231258</v>
      </c>
    </row>
    <row r="31" customFormat="false" ht="15" hidden="false" customHeight="false" outlineLevel="0" collapsed="false">
      <c r="A31" s="3" t="s">
        <v>39</v>
      </c>
      <c r="B31" s="4" t="n">
        <v>0.00242567514087541</v>
      </c>
      <c r="C31" s="4" t="n">
        <v>0.0140509274783446</v>
      </c>
      <c r="D31" s="4" t="n">
        <v>2.50300784814838</v>
      </c>
      <c r="E31" s="4" t="n">
        <v>51.2</v>
      </c>
      <c r="F31" s="5" t="n">
        <v>23.309168566318</v>
      </c>
      <c r="G31" s="7" t="n">
        <v>-0.0845611736370525</v>
      </c>
      <c r="H31" s="6" t="n">
        <v>0.063</v>
      </c>
      <c r="I31" s="6" t="n">
        <v>0.015</v>
      </c>
      <c r="J31" s="7" t="n">
        <v>-0.147561173637053</v>
      </c>
      <c r="K31" s="7" t="n">
        <v>-0.0995611736370525</v>
      </c>
      <c r="L31" s="7" t="n">
        <v>-0.0502203802681893</v>
      </c>
    </row>
    <row r="32" customFormat="false" ht="15" hidden="false" customHeight="false" outlineLevel="0" collapsed="false">
      <c r="A32" s="3" t="s">
        <v>40</v>
      </c>
      <c r="B32" s="4" t="n">
        <v>0.00152817533875151</v>
      </c>
      <c r="C32" s="4" t="n">
        <v>0.00955463068527433</v>
      </c>
      <c r="D32" s="4" t="n">
        <v>1.82719572914832</v>
      </c>
      <c r="E32" s="4" t="n">
        <v>40.96</v>
      </c>
      <c r="F32" s="5" t="n">
        <v>21.6030919022588</v>
      </c>
      <c r="G32" s="7" t="n">
        <v>-0.0731933727796905</v>
      </c>
      <c r="H32" s="6" t="n">
        <v>0.059</v>
      </c>
      <c r="I32" s="6" t="n">
        <v>0.016</v>
      </c>
      <c r="J32" s="7" t="n">
        <v>-0.132193372779691</v>
      </c>
      <c r="K32" s="7" t="n">
        <v>-0.0891933727796905</v>
      </c>
      <c r="L32" s="7" t="n">
        <v>-0.0448463812426971</v>
      </c>
    </row>
    <row r="33" customFormat="false" ht="15" hidden="false" customHeight="false" outlineLevel="0" collapsed="false">
      <c r="A33" s="3" t="s">
        <v>41</v>
      </c>
      <c r="B33" s="4" t="n">
        <v>0.000962750463413451</v>
      </c>
      <c r="C33" s="4" t="n">
        <v>0.00649714886598654</v>
      </c>
      <c r="D33" s="4" t="n">
        <v>1.33385288227827</v>
      </c>
      <c r="E33" s="4" t="n">
        <v>32.768</v>
      </c>
      <c r="F33" s="5" t="n">
        <v>20.2502033379586</v>
      </c>
      <c r="G33" s="7" t="n">
        <v>-0.0626247654928851</v>
      </c>
      <c r="H33" s="6" t="n">
        <v>0.063</v>
      </c>
      <c r="I33" s="6" t="n">
        <v>0.001</v>
      </c>
      <c r="J33" s="7" t="n">
        <v>-0.125624765492885</v>
      </c>
      <c r="K33" s="7" t="n">
        <v>-0.0636247654928851</v>
      </c>
      <c r="L33" s="7" t="n">
        <v>-0.298625855086644</v>
      </c>
    </row>
    <row r="34" customFormat="false" ht="15" hidden="false" customHeight="false" outlineLevel="0" collapsed="false">
      <c r="A34" s="3" t="s">
        <v>42</v>
      </c>
      <c r="B34" s="4" t="n">
        <v>0.000606532791950474</v>
      </c>
      <c r="C34" s="4" t="n">
        <v>0.00441806122887085</v>
      </c>
      <c r="D34" s="4" t="n">
        <v>0.973712604063139</v>
      </c>
      <c r="E34" s="4" t="n">
        <v>26.2144</v>
      </c>
      <c r="F34" s="5" t="n">
        <v>19.1766233964596</v>
      </c>
      <c r="G34" s="7" t="n">
        <v>-0.0530157610559232</v>
      </c>
      <c r="H34" s="6" t="n">
        <v>0.07</v>
      </c>
      <c r="I34" s="6" t="n">
        <v>0.013</v>
      </c>
      <c r="J34" s="7" t="n">
        <v>-0.123015761055923</v>
      </c>
      <c r="K34" s="7" t="n">
        <v>-0.0660157610559232</v>
      </c>
      <c r="L34" s="7" t="n">
        <v>-0.106035284423521</v>
      </c>
    </row>
    <row r="35" customFormat="false" ht="15" hidden="false" customHeight="false" outlineLevel="0" collapsed="false">
      <c r="A35" s="3" t="s">
        <v>43</v>
      </c>
      <c r="B35" s="4" t="n">
        <v>0.000382115658928799</v>
      </c>
      <c r="C35" s="4" t="n">
        <v>0.00300428163563218</v>
      </c>
      <c r="D35" s="4" t="n">
        <v>0.710810200966091</v>
      </c>
      <c r="E35" s="4" t="n">
        <v>20.97152</v>
      </c>
      <c r="F35" s="5" t="n">
        <v>18.3241269354834</v>
      </c>
      <c r="G35" s="7" t="n">
        <v>-0.0444549826813386</v>
      </c>
      <c r="H35" s="6" t="n">
        <v>0.043</v>
      </c>
      <c r="I35" s="6" t="n">
        <v>0.021</v>
      </c>
      <c r="J35" s="7" t="n">
        <v>-0.0874549826813386</v>
      </c>
      <c r="K35" s="7" t="n">
        <v>-0.0654549826813386</v>
      </c>
      <c r="L35" s="7" t="n">
        <v>0.0152776757251378</v>
      </c>
    </row>
    <row r="36" customFormat="false" ht="15" hidden="false" customHeight="false" outlineLevel="0" collapsed="false">
      <c r="A36" s="3" t="s">
        <v>44</v>
      </c>
      <c r="B36" s="4" t="n">
        <v>0.000240732865125143</v>
      </c>
      <c r="C36" s="4" t="n">
        <v>0.00204291151222988</v>
      </c>
      <c r="D36" s="4" t="n">
        <v>0.518891446705247</v>
      </c>
      <c r="E36" s="4" t="n">
        <v>16.777216</v>
      </c>
      <c r="F36" s="5" t="n">
        <v>17.646774027195</v>
      </c>
      <c r="G36" s="7" t="n">
        <v>-0.0369650849218196</v>
      </c>
      <c r="H36" s="6" t="n">
        <v>0.035</v>
      </c>
      <c r="I36" s="6" t="n">
        <v>0.024</v>
      </c>
      <c r="J36" s="7" t="n">
        <v>-0.0719650849218196</v>
      </c>
      <c r="K36" s="7" t="n">
        <v>-0.0609650849218196</v>
      </c>
      <c r="L36" s="7" t="n">
        <v>0.0656113249924858</v>
      </c>
    </row>
    <row r="37" customFormat="false" ht="15" hidden="false" customHeight="false" outlineLevel="0" collapsed="false">
      <c r="A37" s="3" t="s">
        <v>45</v>
      </c>
      <c r="B37" s="4" t="n">
        <v>0.00015166170502884</v>
      </c>
      <c r="C37" s="4" t="n">
        <v>0.00138917982831632</v>
      </c>
      <c r="D37" s="4" t="n">
        <v>0.37879075609483</v>
      </c>
      <c r="E37" s="4" t="n">
        <v>13.4217728</v>
      </c>
      <c r="F37" s="5" t="n">
        <v>17.1082793604156</v>
      </c>
      <c r="G37" s="7" t="n">
        <v>-0.0305151902523118</v>
      </c>
      <c r="H37" s="6" t="n">
        <v>0.067</v>
      </c>
      <c r="I37" s="6" t="n">
        <v>0.018</v>
      </c>
      <c r="J37" s="7" t="n">
        <v>-0.0975151902523118</v>
      </c>
      <c r="K37" s="7" t="n">
        <v>-0.0485151902523118</v>
      </c>
      <c r="L37" s="7" t="n">
        <v>-0.0412242019375509</v>
      </c>
    </row>
    <row r="38" customFormat="false" ht="15" hidden="false" customHeight="false" outlineLevel="0" collapsed="false">
      <c r="A38" s="3" t="s">
        <v>46</v>
      </c>
      <c r="B38" s="4" t="n">
        <v>9.55468741681693E-005</v>
      </c>
      <c r="C38" s="4" t="n">
        <v>0.000944642283255096</v>
      </c>
      <c r="D38" s="4" t="n">
        <v>0.276517251949226</v>
      </c>
      <c r="E38" s="4" t="n">
        <v>10.73741824</v>
      </c>
      <c r="F38" s="5" t="n">
        <v>16.6799548641625</v>
      </c>
      <c r="G38" s="7" t="n">
        <v>-0.025036094351146</v>
      </c>
      <c r="H38" s="6" t="n">
        <v>0.246</v>
      </c>
      <c r="I38" s="6" t="n">
        <v>0.012</v>
      </c>
      <c r="J38" s="7" t="n">
        <v>-0.271036094351146</v>
      </c>
      <c r="K38" s="7" t="n">
        <v>-0.037036094351146</v>
      </c>
      <c r="L38" s="7" t="n">
        <v>-0.216005497884052</v>
      </c>
    </row>
    <row r="39" customFormat="false" ht="15" hidden="false" customHeight="false" outlineLevel="0" collapsed="false">
      <c r="A39" s="3" t="s">
        <v>47</v>
      </c>
      <c r="B39" s="4" t="n">
        <v>6.01945307259467E-005</v>
      </c>
      <c r="C39" s="4" t="n">
        <v>0.000642356752613466</v>
      </c>
      <c r="D39" s="4" t="n">
        <v>0.201857593922935</v>
      </c>
      <c r="E39" s="4" t="n">
        <v>8.589934592</v>
      </c>
      <c r="F39" s="5" t="n">
        <v>16.3390981072639</v>
      </c>
      <c r="G39" s="7" t="n">
        <v>-0.020435112665137</v>
      </c>
      <c r="H39" s="6" t="n">
        <v>0.129</v>
      </c>
      <c r="I39" s="6" t="n">
        <v>0.047</v>
      </c>
      <c r="J39" s="7" t="n">
        <v>-0.149435112665137</v>
      </c>
      <c r="K39" s="7" t="n">
        <v>-0.067435112665137</v>
      </c>
      <c r="L39" s="7" t="n">
        <v>0.400384887529944</v>
      </c>
    </row>
    <row r="40" customFormat="false" ht="15" hidden="false" customHeight="false" outlineLevel="0" collapsed="false">
      <c r="A40" s="3" t="s">
        <v>48</v>
      </c>
      <c r="B40" s="4" t="n">
        <v>3.79225543573464E-005</v>
      </c>
      <c r="C40" s="4" t="n">
        <v>0.000436802591777157</v>
      </c>
      <c r="D40" s="4" t="n">
        <v>0.147356043563743</v>
      </c>
      <c r="E40" s="4" t="n">
        <v>6.8719476736</v>
      </c>
      <c r="F40" s="5" t="n">
        <v>16.0677280030879</v>
      </c>
      <c r="G40" s="7" t="n">
        <v>-0.0166086342339432</v>
      </c>
      <c r="H40" s="6" t="n">
        <v>-0.006</v>
      </c>
      <c r="I40" s="6" t="n">
        <v>0.08</v>
      </c>
      <c r="J40" s="7" t="n">
        <v>-0.0106086342339432</v>
      </c>
      <c r="K40" s="7" t="n">
        <v>-0.0966086342339432</v>
      </c>
      <c r="L40" s="7" t="n">
        <v>0.6210625010463</v>
      </c>
    </row>
    <row r="41" customFormat="false" ht="15" hidden="false" customHeight="false" outlineLevel="0" collapsed="false">
      <c r="A41" s="3" t="s">
        <v>49</v>
      </c>
      <c r="B41" s="4" t="n">
        <v>2.38912092451282E-005</v>
      </c>
      <c r="C41" s="4" t="n">
        <v>0.000297025762408466</v>
      </c>
      <c r="D41" s="4" t="n">
        <v>0.107569911801532</v>
      </c>
      <c r="E41" s="4" t="n">
        <v>5.49755813888</v>
      </c>
      <c r="F41" s="5" t="n">
        <v>15.8515915767372</v>
      </c>
      <c r="G41" s="7" t="n">
        <v>-0.0134515860804444</v>
      </c>
      <c r="H41" s="6" t="n">
        <v>0.024</v>
      </c>
      <c r="I41" s="6" t="n">
        <v>0.041</v>
      </c>
      <c r="J41" s="7" t="n">
        <v>-0.0374515860804444</v>
      </c>
      <c r="K41" s="7" t="n">
        <v>-0.0544515860804444</v>
      </c>
      <c r="L41" s="7" t="n">
        <v>0.385663697086353</v>
      </c>
    </row>
    <row r="42" customFormat="false" ht="15" hidden="false" customHeight="false" outlineLevel="0" collapsed="false">
      <c r="A42" s="3" t="s">
        <v>50</v>
      </c>
      <c r="B42" s="4" t="n">
        <v>1.50514618244308E-005</v>
      </c>
      <c r="C42" s="4" t="n">
        <v>0.000201977518437757</v>
      </c>
      <c r="D42" s="4" t="n">
        <v>0.0785260356151184</v>
      </c>
      <c r="E42" s="4" t="n">
        <v>4.398046511104</v>
      </c>
      <c r="F42" s="5" t="n">
        <v>15.6793826439385</v>
      </c>
      <c r="G42" s="7" t="n">
        <v>-0.0108638260054199</v>
      </c>
      <c r="H42" s="6" t="n">
        <v>0.03</v>
      </c>
      <c r="I42" s="6" t="n">
        <v>0.038</v>
      </c>
      <c r="J42" s="7" t="n">
        <v>-0.0408638260054199</v>
      </c>
      <c r="K42" s="7" t="n">
        <v>-0.0488638260054199</v>
      </c>
      <c r="L42" s="7" t="n">
        <v>0.368370663361552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8" t="s">
        <v>51</v>
      </c>
    </row>
    <row r="3" customFormat="false" ht="15" hidden="false" customHeight="false" outlineLevel="0" collapsed="false">
      <c r="A3" s="9" t="s">
        <v>52</v>
      </c>
      <c r="B3" s="9" t="s">
        <v>53</v>
      </c>
      <c r="C3" s="9" t="s">
        <v>54</v>
      </c>
    </row>
    <row r="4" customFormat="false" ht="15" hidden="false" customHeight="false" outlineLevel="0" collapsed="false">
      <c r="A4" s="0" t="s">
        <v>55</v>
      </c>
      <c r="B4" s="6" t="n">
        <v>0.25</v>
      </c>
      <c r="C4" s="10" t="s">
        <v>56</v>
      </c>
    </row>
    <row r="5" customFormat="false" ht="15" hidden="false" customHeight="false" outlineLevel="0" collapsed="false">
      <c r="A5" s="0" t="s">
        <v>57</v>
      </c>
      <c r="B5" s="6" t="n">
        <v>0.2</v>
      </c>
      <c r="C5" s="10" t="s">
        <v>58</v>
      </c>
    </row>
    <row r="6" customFormat="false" ht="15" hidden="false" customHeight="false" outlineLevel="0" collapsed="false">
      <c r="A6" s="0" t="s">
        <v>59</v>
      </c>
      <c r="B6" s="6" t="n">
        <v>0.25</v>
      </c>
      <c r="C6" s="10" t="s">
        <v>60</v>
      </c>
    </row>
    <row r="7" customFormat="false" ht="15" hidden="false" customHeight="false" outlineLevel="0" collapsed="false">
      <c r="A7" s="0" t="s">
        <v>61</v>
      </c>
      <c r="B7" s="6" t="n">
        <v>0.15</v>
      </c>
      <c r="C7" s="10" t="s">
        <v>62</v>
      </c>
    </row>
    <row r="8" customFormat="false" ht="15" hidden="false" customHeight="false" outlineLevel="0" collapsed="false">
      <c r="A8" s="0" t="s">
        <v>63</v>
      </c>
      <c r="B8" s="6" t="n">
        <v>0.15</v>
      </c>
      <c r="C8" s="10" t="s">
        <v>64</v>
      </c>
    </row>
    <row r="9" customFormat="false" ht="15" hidden="false" customHeight="false" outlineLevel="0" collapsed="false">
      <c r="A9" s="9" t="s">
        <v>65</v>
      </c>
      <c r="B9" s="7" t="n">
        <f aca="false">SUM(B4:B8)</f>
        <v>1</v>
      </c>
    </row>
    <row r="12" customFormat="false" ht="15" hidden="false" customHeight="false" outlineLevel="0" collapsed="false">
      <c r="A12" s="9" t="s">
        <v>66</v>
      </c>
    </row>
    <row r="13" customFormat="false" ht="15" hidden="false" customHeight="false" outlineLevel="0" collapsed="false">
      <c r="A13" s="0" t="s">
        <v>67</v>
      </c>
    </row>
    <row r="14" customFormat="false" ht="15" hidden="false" customHeight="false" outlineLevel="0" collapsed="false">
      <c r="A14" s="0" t="s">
        <v>68</v>
      </c>
    </row>
    <row r="15" customFormat="false" ht="15" hidden="false" customHeight="false" outlineLevel="0" collapsed="false">
      <c r="A15" s="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8" t="s">
        <v>70</v>
      </c>
    </row>
    <row r="3" customFormat="false" ht="15" hidden="false" customHeight="false" outlineLevel="0" collapsed="false">
      <c r="A3" s="9" t="s">
        <v>71</v>
      </c>
    </row>
    <row r="5" customFormat="false" ht="15" hidden="false" customHeight="false" outlineLevel="0" collapsed="false">
      <c r="A5" s="11"/>
    </row>
    <row r="6" customFormat="false" ht="15" hidden="false" customHeight="false" outlineLevel="0" collapsed="false">
      <c r="A6" s="11" t="s">
        <v>72</v>
      </c>
    </row>
    <row r="7" customFormat="false" ht="15" hidden="false" customHeight="false" outlineLevel="0" collapsed="false">
      <c r="A7" s="11" t="s">
        <v>73</v>
      </c>
    </row>
    <row r="8" customFormat="false" ht="15" hidden="false" customHeight="false" outlineLevel="0" collapsed="false">
      <c r="A8" s="11" t="s">
        <v>74</v>
      </c>
    </row>
    <row r="9" customFormat="false" ht="15" hidden="false" customHeight="false" outlineLevel="0" collapsed="false">
      <c r="A9" s="11" t="s">
        <v>75</v>
      </c>
    </row>
    <row r="10" customFormat="false" ht="15" hidden="false" customHeight="false" outlineLevel="0" collapsed="false">
      <c r="A10" s="11"/>
    </row>
    <row r="11" customFormat="false" ht="15" hidden="false" customHeight="false" outlineLevel="0" collapsed="false">
      <c r="A11" s="11" t="s">
        <v>76</v>
      </c>
    </row>
    <row r="12" customFormat="false" ht="15" hidden="false" customHeight="false" outlineLevel="0" collapsed="false">
      <c r="A12" s="11" t="s">
        <v>77</v>
      </c>
    </row>
    <row r="13" customFormat="false" ht="15" hidden="false" customHeight="false" outlineLevel="0" collapsed="false">
      <c r="A13" s="11" t="s">
        <v>78</v>
      </c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11" t="s">
        <v>79</v>
      </c>
    </row>
    <row r="16" customFormat="false" ht="15" hidden="false" customHeight="false" outlineLevel="0" collapsed="false">
      <c r="A16" s="11" t="s">
        <v>80</v>
      </c>
    </row>
    <row r="17" customFormat="false" ht="15" hidden="false" customHeight="false" outlineLevel="0" collapsed="false">
      <c r="A17" s="11" t="s">
        <v>81</v>
      </c>
    </row>
    <row r="18" customFormat="false" ht="15" hidden="false" customHeight="false" outlineLevel="0" collapsed="false">
      <c r="A18" s="11" t="s">
        <v>82</v>
      </c>
    </row>
    <row r="19" customFormat="false" ht="15" hidden="false" customHeight="false" outlineLevel="0" collapsed="false">
      <c r="A19" s="11" t="s">
        <v>83</v>
      </c>
    </row>
    <row r="20" customFormat="false" ht="15" hidden="false" customHeight="false" outlineLevel="0" collapsed="false">
      <c r="A20" s="11"/>
    </row>
    <row r="21" customFormat="false" ht="15" hidden="false" customHeight="false" outlineLevel="0" collapsed="false">
      <c r="A21" s="11" t="s">
        <v>84</v>
      </c>
    </row>
    <row r="22" customFormat="false" ht="15" hidden="false" customHeight="false" outlineLevel="0" collapsed="false">
      <c r="A22" s="11" t="s">
        <v>85</v>
      </c>
    </row>
    <row r="23" customFormat="false" ht="15" hidden="false" customHeight="false" outlineLevel="0" collapsed="false">
      <c r="A23" s="11" t="s">
        <v>86</v>
      </c>
    </row>
    <row r="24" customFormat="false" ht="15" hidden="false" customHeight="false" outlineLevel="0" collapsed="false">
      <c r="A24" s="11" t="s">
        <v>87</v>
      </c>
    </row>
    <row r="25" customFormat="false" ht="15" hidden="false" customHeight="false" outlineLevel="0" collapsed="false">
      <c r="A25" s="11" t="s">
        <v>88</v>
      </c>
    </row>
    <row r="26" customFormat="false" ht="15" hidden="false" customHeight="false" outlineLevel="0" collapsed="false">
      <c r="A26" s="11"/>
    </row>
    <row r="27" customFormat="false" ht="15" hidden="false" customHeight="false" outlineLevel="0" collapsed="false">
      <c r="A27" s="11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</cols>
  <sheetData>
    <row r="1" customFormat="false" ht="17.35" hidden="false" customHeight="false" outlineLevel="0" collapsed="false">
      <c r="A1" s="8" t="s">
        <v>90</v>
      </c>
    </row>
    <row r="3" customFormat="false" ht="15" hidden="false" customHeight="false" outlineLevel="0" collapsed="false">
      <c r="A3" s="11"/>
    </row>
    <row r="4" customFormat="false" ht="15" hidden="false" customHeight="false" outlineLevel="0" collapsed="false">
      <c r="A4" s="9" t="s">
        <v>91</v>
      </c>
    </row>
    <row r="5" customFormat="false" ht="15" hidden="false" customHeight="false" outlineLevel="0" collapsed="false">
      <c r="A5" s="11" t="s">
        <v>92</v>
      </c>
    </row>
    <row r="6" customFormat="false" ht="15" hidden="false" customHeight="false" outlineLevel="0" collapsed="false">
      <c r="A6" s="11" t="s">
        <v>93</v>
      </c>
    </row>
    <row r="7" customFormat="false" ht="15" hidden="false" customHeight="false" outlineLevel="0" collapsed="false">
      <c r="A7" s="11"/>
    </row>
    <row r="8" customFormat="false" ht="15" hidden="false" customHeight="false" outlineLevel="0" collapsed="false">
      <c r="A8" s="9" t="s">
        <v>94</v>
      </c>
    </row>
    <row r="9" customFormat="false" ht="15" hidden="false" customHeight="false" outlineLevel="0" collapsed="false">
      <c r="A9" s="11" t="s">
        <v>95</v>
      </c>
    </row>
    <row r="10" customFormat="false" ht="15" hidden="false" customHeight="false" outlineLevel="0" collapsed="false">
      <c r="A10" s="11" t="s">
        <v>96</v>
      </c>
    </row>
    <row r="11" customFormat="false" ht="15" hidden="false" customHeight="false" outlineLevel="0" collapsed="false">
      <c r="A11" s="11" t="s">
        <v>97</v>
      </c>
    </row>
    <row r="12" customFormat="false" ht="15" hidden="false" customHeight="false" outlineLevel="0" collapsed="false">
      <c r="A12" s="11" t="s">
        <v>98</v>
      </c>
    </row>
    <row r="13" customFormat="false" ht="15" hidden="false" customHeight="false" outlineLevel="0" collapsed="false">
      <c r="A13" s="11" t="s">
        <v>99</v>
      </c>
    </row>
    <row r="14" customFormat="false" ht="15" hidden="false" customHeight="false" outlineLevel="0" collapsed="false">
      <c r="A14" s="11"/>
    </row>
    <row r="15" customFormat="false" ht="15" hidden="false" customHeight="false" outlineLevel="0" collapsed="false">
      <c r="A15" s="9" t="s">
        <v>100</v>
      </c>
    </row>
    <row r="16" customFormat="false" ht="15" hidden="false" customHeight="false" outlineLevel="0" collapsed="false">
      <c r="A16" s="11" t="s">
        <v>101</v>
      </c>
    </row>
    <row r="17" customFormat="false" ht="15" hidden="false" customHeight="false" outlineLevel="0" collapsed="false">
      <c r="A17" s="11" t="s">
        <v>102</v>
      </c>
    </row>
    <row r="18" customFormat="false" ht="15" hidden="false" customHeight="false" outlineLevel="0" collapsed="false">
      <c r="A18" s="11" t="s">
        <v>103</v>
      </c>
    </row>
    <row r="19" customFormat="false" ht="15" hidden="false" customHeight="false" outlineLevel="0" collapsed="false">
      <c r="A19" s="11" t="s">
        <v>104</v>
      </c>
    </row>
    <row r="20" customFormat="false" ht="15" hidden="false" customHeight="false" outlineLevel="0" collapsed="false">
      <c r="A20" s="11" t="s">
        <v>105</v>
      </c>
    </row>
    <row r="21" customFormat="false" ht="15" hidden="false" customHeight="false" outlineLevel="0" collapsed="false">
      <c r="A21" s="11"/>
    </row>
    <row r="22" customFormat="false" ht="15" hidden="false" customHeight="false" outlineLevel="0" collapsed="false">
      <c r="A22" s="9" t="s">
        <v>106</v>
      </c>
    </row>
    <row r="23" customFormat="false" ht="15" hidden="false" customHeight="false" outlineLevel="0" collapsed="false">
      <c r="A23" s="11" t="s">
        <v>107</v>
      </c>
    </row>
    <row r="24" customFormat="false" ht="15" hidden="false" customHeight="false" outlineLevel="0" collapsed="false">
      <c r="A24" s="11" t="s">
        <v>108</v>
      </c>
    </row>
    <row r="25" customFormat="false" ht="15" hidden="false" customHeight="false" outlineLevel="0" collapsed="false">
      <c r="A25" s="11" t="s">
        <v>109</v>
      </c>
    </row>
    <row r="26" customFormat="false" ht="15" hidden="false" customHeight="false" outlineLevel="0" collapsed="false">
      <c r="A26" s="11"/>
    </row>
    <row r="27" customFormat="false" ht="15" hidden="false" customHeight="false" outlineLevel="0" collapsed="false">
      <c r="A27" s="9" t="s">
        <v>110</v>
      </c>
    </row>
    <row r="28" customFormat="false" ht="15" hidden="false" customHeight="false" outlineLevel="0" collapsed="false">
      <c r="A28" s="11" t="s">
        <v>111</v>
      </c>
    </row>
    <row r="29" customFormat="false" ht="15" hidden="false" customHeight="false" outlineLevel="0" collapsed="false">
      <c r="A29" s="11" t="s">
        <v>112</v>
      </c>
    </row>
    <row r="30" customFormat="false" ht="15" hidden="false" customHeight="false" outlineLevel="0" collapsed="false">
      <c r="A30" s="11" t="s">
        <v>113</v>
      </c>
    </row>
    <row r="31" customFormat="false" ht="15" hidden="false" customHeight="false" outlineLevel="0" collapsed="false">
      <c r="A31" s="11"/>
    </row>
    <row r="32" customFormat="false" ht="15" hidden="false" customHeight="false" outlineLevel="0" collapsed="false">
      <c r="A32" s="9" t="s">
        <v>114</v>
      </c>
    </row>
    <row r="33" customFormat="false" ht="15" hidden="false" customHeight="false" outlineLevel="0" collapsed="false">
      <c r="A33" s="11" t="s">
        <v>115</v>
      </c>
    </row>
    <row r="34" customFormat="false" ht="15" hidden="false" customHeight="false" outlineLevel="0" collapsed="false">
      <c r="A34" s="11" t="s">
        <v>116</v>
      </c>
    </row>
    <row r="35" customFormat="false" ht="15" hidden="false" customHeight="false" outlineLevel="0" collapsed="false">
      <c r="A35" s="11" t="s">
        <v>117</v>
      </c>
    </row>
    <row r="36" customFormat="false" ht="15" hidden="false" customHeight="false" outlineLevel="0" collapsed="false">
      <c r="A36" s="11" t="s">
        <v>118</v>
      </c>
    </row>
    <row r="37" customFormat="false" ht="15" hidden="false" customHeight="false" outlineLevel="0" collapsed="false">
      <c r="A37" s="11" t="s">
        <v>119</v>
      </c>
    </row>
    <row r="38" customFormat="false" ht="15" hidden="false" customHeight="false" outlineLevel="0" collapsed="false">
      <c r="A38" s="11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30"/>
  </cols>
  <sheetData>
    <row r="1" customFormat="false" ht="17.35" hidden="false" customHeight="false" outlineLevel="0" collapsed="false">
      <c r="A1" s="8" t="s">
        <v>121</v>
      </c>
    </row>
    <row r="3" customFormat="false" ht="15" hidden="false" customHeight="false" outlineLevel="0" collapsed="false">
      <c r="A3" s="12" t="s">
        <v>122</v>
      </c>
      <c r="B3" s="12" t="s">
        <v>123</v>
      </c>
      <c r="C3" s="12" t="s">
        <v>124</v>
      </c>
      <c r="D3" s="12" t="s">
        <v>125</v>
      </c>
      <c r="E3" s="12" t="s">
        <v>126</v>
      </c>
    </row>
    <row r="4" customFormat="false" ht="15" hidden="false" customHeight="false" outlineLevel="0" collapsed="false">
      <c r="A4" s="0" t="s">
        <v>127</v>
      </c>
      <c r="B4" s="0" t="s">
        <v>128</v>
      </c>
      <c r="C4" s="0" t="s">
        <v>129</v>
      </c>
      <c r="D4" s="0" t="s">
        <v>130</v>
      </c>
      <c r="E4" s="0" t="s">
        <v>131</v>
      </c>
    </row>
    <row r="5" customFormat="false" ht="15" hidden="false" customHeight="false" outlineLevel="0" collapsed="false">
      <c r="A5" s="0" t="s">
        <v>132</v>
      </c>
      <c r="B5" s="0" t="s">
        <v>133</v>
      </c>
      <c r="C5" s="0" t="s">
        <v>134</v>
      </c>
      <c r="D5" s="0" t="s">
        <v>135</v>
      </c>
      <c r="E5" s="0" t="s">
        <v>131</v>
      </c>
    </row>
    <row r="6" customFormat="false" ht="15" hidden="false" customHeight="false" outlineLevel="0" collapsed="false">
      <c r="A6" s="0" t="s">
        <v>136</v>
      </c>
      <c r="B6" s="0" t="s">
        <v>137</v>
      </c>
      <c r="C6" s="0" t="s">
        <v>138</v>
      </c>
      <c r="D6" s="0" t="s">
        <v>139</v>
      </c>
      <c r="E6" s="0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2025-12-15T16:16:31Z</dcterms:created>
  <dc:creator>openpyxl</dc:creator>
  <dc:description/>
  <dc:language>en-US</dc:language>
  <cp:lastModifiedBy/>
  <dcterms:modified xsi:type="dcterms:W3CDTF">2025-12-15T16:50:27Z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