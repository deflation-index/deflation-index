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eflation Index" sheetId="1" state="visible" r:id="rId1"/>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
  </numFmts>
  <fonts count="18">
    <font>
      <name val="Calibri"/>
      <family val="2"/>
      <color theme="1"/>
      <sz val="11"/>
      <scheme val="minor"/>
    </font>
    <font>
      <b val="1"/>
      <color rgb="001F4E78"/>
      <sz val="18"/>
    </font>
    <font>
      <b val="1"/>
      <i val="1"/>
      <color rgb="001F4E78"/>
      <sz val="12"/>
    </font>
    <font>
      <i val="1"/>
      <sz val="10"/>
    </font>
    <font>
      <b val="1"/>
      <color rgb="00FFFFFF"/>
      <sz val="12"/>
    </font>
    <font>
      <b val="1"/>
    </font>
    <font>
      <b val="1"/>
      <color rgb="00FFFFFF"/>
    </font>
    <font>
      <b val="1"/>
      <color rgb="00FF0000"/>
      <sz val="14"/>
    </font>
    <font>
      <b val="1"/>
      <sz val="11"/>
    </font>
    <font>
      <b val="1"/>
      <sz val="12"/>
    </font>
    <font>
      <b val="1"/>
      <sz val="14"/>
    </font>
    <font>
      <b val="1"/>
      <sz val="16"/>
    </font>
    <font>
      <b val="1"/>
      <color rgb="00FFFFFF"/>
      <sz val="16"/>
    </font>
    <font>
      <b val="1"/>
      <color rgb="001F4E78"/>
      <sz val="12"/>
    </font>
    <font>
      <sz val="10"/>
    </font>
    <font>
      <b val="1"/>
      <color rgb="00FF0000"/>
      <sz val="12"/>
    </font>
    <font>
      <b val="1"/>
      <sz val="10"/>
    </font>
    <font>
      <i val="1"/>
      <sz val="9"/>
    </font>
  </fonts>
  <fills count="9">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C6E0B4"/>
        <bgColor rgb="00C6E0B4"/>
      </patternFill>
    </fill>
    <fill>
      <patternFill patternType="solid">
        <fgColor rgb="00F8CBAD"/>
        <bgColor rgb="00F8CBAD"/>
      </patternFill>
    </fill>
    <fill>
      <patternFill patternType="solid">
        <fgColor rgb="00FFC000"/>
        <bgColor rgb="00FFC000"/>
      </patternFill>
    </fill>
    <fill>
      <patternFill patternType="solid">
        <fgColor rgb="00FF6B6B"/>
        <bgColor rgb="00FF6B6B"/>
      </patternFill>
    </fill>
    <fill>
      <patternFill patternType="solid">
        <fgColor rgb="00FFF2CC"/>
        <bgColor rgb="00FFF2CC"/>
      </patternFill>
    </fill>
  </fills>
  <borders count="1">
    <border>
      <left/>
      <right/>
      <top/>
      <bottom/>
      <diagonal/>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0" applyAlignment="1" pivotButton="0" quotePrefix="0" xfId="0">
      <alignment horizontal="center" vertical="center" wrapText="1"/>
    </xf>
    <xf numFmtId="0" fontId="5" fillId="0" borderId="0" applyAlignment="1" pivotButton="0" quotePrefix="0" xfId="0">
      <alignment horizontal="center"/>
    </xf>
    <xf numFmtId="164" fontId="0" fillId="0" borderId="0" pivotButton="0" quotePrefix="0" xfId="0"/>
    <xf numFmtId="164" fontId="5" fillId="3" borderId="0" pivotButton="0" quotePrefix="0" xfId="0"/>
    <xf numFmtId="165" fontId="0" fillId="3" borderId="0" pivotButton="0" quotePrefix="0" xfId="0"/>
    <xf numFmtId="164" fontId="5" fillId="0" borderId="0" pivotButton="0" quotePrefix="0" xfId="0"/>
    <xf numFmtId="165" fontId="0" fillId="4" borderId="0" pivotButton="0" quotePrefix="0" xfId="0"/>
    <xf numFmtId="165" fontId="0" fillId="5" borderId="0" pivotButton="0" quotePrefix="0" xfId="0"/>
    <xf numFmtId="165" fontId="5" fillId="6" borderId="0" pivotButton="0" quotePrefix="0" xfId="0"/>
    <xf numFmtId="164" fontId="6" fillId="7" borderId="0" pivotButton="0" quotePrefix="0" xfId="0"/>
    <xf numFmtId="0" fontId="0" fillId="0" borderId="0" applyAlignment="1" pivotButton="0" quotePrefix="0" xfId="0">
      <alignment wrapText="1"/>
    </xf>
    <xf numFmtId="0" fontId="7" fillId="0" borderId="0" pivotButton="0" quotePrefix="0" xfId="0"/>
    <xf numFmtId="0" fontId="8" fillId="0" borderId="0" pivotButton="0" quotePrefix="0" xfId="0"/>
    <xf numFmtId="164" fontId="9" fillId="4" borderId="0" pivotButton="0" quotePrefix="0" xfId="0"/>
    <xf numFmtId="164" fontId="9" fillId="3" borderId="0" pivotButton="0" quotePrefix="0" xfId="0"/>
    <xf numFmtId="166" fontId="10" fillId="4" borderId="0" pivotButton="0" quotePrefix="0" xfId="0"/>
    <xf numFmtId="166" fontId="10" fillId="5" borderId="0" pivotButton="0" quotePrefix="0" xfId="0"/>
    <xf numFmtId="166" fontId="11" fillId="6" borderId="0" pivotButton="0" quotePrefix="0" xfId="0"/>
    <xf numFmtId="164" fontId="9" fillId="5" borderId="0" pivotButton="0" quotePrefix="0" xfId="0"/>
    <xf numFmtId="164" fontId="12" fillId="7" borderId="0" pivotButton="0" quotePrefix="0" xfId="0"/>
    <xf numFmtId="0" fontId="13" fillId="0" borderId="0" pivotButton="0" quotePrefix="0" xfId="0"/>
    <xf numFmtId="0" fontId="14" fillId="0" borderId="0" applyAlignment="1" pivotButton="0" quotePrefix="0" xfId="0">
      <alignment wrapText="1"/>
    </xf>
    <xf numFmtId="0" fontId="15" fillId="0" borderId="0" pivotButton="0" quotePrefix="0" xfId="0"/>
    <xf numFmtId="0" fontId="3" fillId="8" borderId="0" applyAlignment="1" pivotButton="0" quotePrefix="0" xfId="0">
      <alignment wrapText="1"/>
    </xf>
    <xf numFmtId="0" fontId="16" fillId="0" borderId="0" pivotButton="0" quotePrefix="0" xfId="0"/>
    <xf numFmtId="0" fontId="1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5"/>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5" customWidth="1" min="5" max="5"/>
    <col width="15" customWidth="1" min="6" max="6"/>
    <col width="12" customWidth="1" min="7" max="7"/>
    <col width="12" customWidth="1" min="8" max="8"/>
    <col width="12" customWidth="1" min="9" max="9"/>
    <col width="15" customWidth="1" min="10" max="10"/>
    <col width="15" customWidth="1" min="11" max="11"/>
    <col width="12" customWidth="1" min="12" max="12"/>
    <col width="12" customWidth="1" min="13" max="13"/>
    <col width="30" customWidth="1" min="14" max="14"/>
  </cols>
  <sheetData>
    <row r="1">
      <c r="A1" s="1" t="inlineStr">
        <is>
          <t>THE DEFLATION INDEX</t>
        </is>
      </c>
    </row>
    <row r="2">
      <c r="A2" s="2" t="inlineStr">
        <is>
          <t>Quantifying Technological Deflation vs. Monetary Inflation (1990-2024)</t>
        </is>
      </c>
    </row>
    <row r="3">
      <c r="A3" s="3" t="inlineStr">
        <is>
          <t>Measuring the Stolen Abundance</t>
        </is>
      </c>
    </row>
    <row r="5">
      <c r="A5" s="4" t="inlineStr">
        <is>
          <t>Year</t>
        </is>
      </c>
      <c r="B5" s="4" t="inlineStr">
        <is>
          <t>Computing Deflation (%)</t>
        </is>
      </c>
      <c r="C5" s="4" t="inlineStr">
        <is>
          <t>Communications Deflation (%)</t>
        </is>
      </c>
      <c r="D5" s="4" t="inlineStr">
        <is>
          <t>Energy Deflation (%)</t>
        </is>
      </c>
      <c r="E5" s="4" t="inlineStr">
        <is>
          <t>Weighted Composite Deflation (%)</t>
        </is>
      </c>
      <c r="F5" s="4" t="inlineStr">
        <is>
          <t>Cumulative Tech Deflation Index</t>
        </is>
      </c>
      <c r="G5" s="4" t="inlineStr">
        <is>
          <t>M2 Money Supply Growth (%)</t>
        </is>
      </c>
      <c r="H5" s="4" t="inlineStr">
        <is>
          <t>Official CPI Inflation (%)</t>
        </is>
      </c>
      <c r="I5" s="4" t="inlineStr">
        <is>
          <t>Net Real Effect (%)</t>
        </is>
      </c>
      <c r="J5" s="4" t="inlineStr">
        <is>
          <t>Tech Purchasing Power (Base 1990)</t>
        </is>
      </c>
      <c r="K5" s="4" t="inlineStr">
        <is>
          <t>Actual Purchasing Power (Base 1990)</t>
        </is>
      </c>
      <c r="L5" s="4" t="inlineStr">
        <is>
          <t>Stolen Abundance Gap</t>
        </is>
      </c>
      <c r="M5" s="4" t="inlineStr">
        <is>
          <t>Cumulative Theft ($)</t>
        </is>
      </c>
      <c r="N5" s="4" t="inlineStr">
        <is>
          <t>Notes</t>
        </is>
      </c>
    </row>
    <row r="6">
      <c r="A6" s="5" t="n">
        <v>1990</v>
      </c>
      <c r="B6" s="6" t="n">
        <v>0</v>
      </c>
      <c r="C6" s="6" t="n">
        <v>0</v>
      </c>
      <c r="D6" s="6" t="n">
        <v>0</v>
      </c>
      <c r="E6" s="7">
        <f>(B6*0.35 + C6*0.30 + D6*0.35)</f>
        <v/>
      </c>
      <c r="F6" s="8" t="n">
        <v>100</v>
      </c>
      <c r="G6" s="6" t="n">
        <v>0.075</v>
      </c>
      <c r="H6" s="6" t="n">
        <v>0.05400000000000001</v>
      </c>
      <c r="I6" s="9">
        <f>-E6+G6</f>
        <v/>
      </c>
      <c r="J6" s="10" t="n">
        <v>100</v>
      </c>
      <c r="K6" s="11" t="n">
        <v>100</v>
      </c>
      <c r="L6" s="12">
        <f>J6-K6</f>
        <v/>
      </c>
      <c r="M6" s="13">
        <f>L6/J6</f>
        <v/>
      </c>
      <c r="N6" s="14" t="inlineStr">
        <is>
          <t>Baseline year</t>
        </is>
      </c>
    </row>
    <row r="7">
      <c r="A7" s="5" t="n">
        <v>1991</v>
      </c>
      <c r="B7" s="6" t="n">
        <v>0.35</v>
      </c>
      <c r="C7" s="6" t="n">
        <v>0.08</v>
      </c>
      <c r="D7" s="6" t="n">
        <v>0.05</v>
      </c>
      <c r="E7" s="7">
        <f>(B7*0.35 + C7*0.30 + D7*0.35)</f>
        <v/>
      </c>
      <c r="F7" s="8">
        <f>F6*(1-E7)</f>
        <v/>
      </c>
      <c r="G7" s="6" t="n">
        <v>0.042</v>
      </c>
      <c r="H7" s="6" t="n">
        <v>0.042</v>
      </c>
      <c r="I7" s="9">
        <f>-E7+G7</f>
        <v/>
      </c>
      <c r="J7" s="10">
        <f>J6*(1+E7)</f>
        <v/>
      </c>
      <c r="K7" s="11">
        <f>K6*(1-H7)</f>
        <v/>
      </c>
      <c r="L7" s="12">
        <f>J7-K7</f>
        <v/>
      </c>
      <c r="M7" s="13">
        <f>L7/J7</f>
        <v/>
      </c>
    </row>
    <row r="8">
      <c r="A8" s="5" t="n">
        <v>1992</v>
      </c>
      <c r="B8" s="6" t="n">
        <v>0.36</v>
      </c>
      <c r="C8" s="6" t="n">
        <v>0.1</v>
      </c>
      <c r="D8" s="6" t="n">
        <v>0.06</v>
      </c>
      <c r="E8" s="7">
        <f>(B8*0.35 + C8*0.30 + D8*0.35)</f>
        <v/>
      </c>
      <c r="F8" s="8">
        <f>F7*(1-E8)</f>
        <v/>
      </c>
      <c r="G8" s="6" t="n">
        <v>0.058</v>
      </c>
      <c r="H8" s="6" t="n">
        <v>0.03</v>
      </c>
      <c r="I8" s="9">
        <f>-E8+G8</f>
        <v/>
      </c>
      <c r="J8" s="10">
        <f>J7*(1+E8)</f>
        <v/>
      </c>
      <c r="K8" s="11">
        <f>K7*(1-H8)</f>
        <v/>
      </c>
      <c r="L8" s="12">
        <f>J8-K8</f>
        <v/>
      </c>
      <c r="M8" s="13">
        <f>L8/J8</f>
        <v/>
      </c>
    </row>
    <row r="9">
      <c r="A9" s="5" t="n">
        <v>1993</v>
      </c>
      <c r="B9" s="6" t="n">
        <v>0.38</v>
      </c>
      <c r="C9" s="6" t="n">
        <v>0.12</v>
      </c>
      <c r="D9" s="6" t="n">
        <v>0.07000000000000001</v>
      </c>
      <c r="E9" s="7">
        <f>(B9*0.35 + C9*0.30 + D9*0.35)</f>
        <v/>
      </c>
      <c r="F9" s="8">
        <f>F8*(1-E9)</f>
        <v/>
      </c>
      <c r="G9" s="6" t="n">
        <v>0.06900000000000001</v>
      </c>
      <c r="H9" s="6" t="n">
        <v>0.026</v>
      </c>
      <c r="I9" s="9">
        <f>-E9+G9</f>
        <v/>
      </c>
      <c r="J9" s="10">
        <f>J8*(1+E9)</f>
        <v/>
      </c>
      <c r="K9" s="11">
        <f>K8*(1-H9)</f>
        <v/>
      </c>
      <c r="L9" s="12">
        <f>J9-K9</f>
        <v/>
      </c>
      <c r="M9" s="13">
        <f>L9/J9</f>
        <v/>
      </c>
    </row>
    <row r="10">
      <c r="A10" s="5" t="n">
        <v>1994</v>
      </c>
      <c r="B10" s="6" t="n">
        <v>0.37</v>
      </c>
      <c r="C10" s="6" t="n">
        <v>0.14</v>
      </c>
      <c r="D10" s="6" t="n">
        <v>0.08</v>
      </c>
      <c r="E10" s="7">
        <f>(B10*0.35 + C10*0.30 + D10*0.35)</f>
        <v/>
      </c>
      <c r="F10" s="8">
        <f>F9*(1-E10)</f>
        <v/>
      </c>
      <c r="G10" s="6" t="n">
        <v>0.08500000000000001</v>
      </c>
      <c r="H10" s="6" t="n">
        <v>0.028</v>
      </c>
      <c r="I10" s="9">
        <f>-E10+G10</f>
        <v/>
      </c>
      <c r="J10" s="10">
        <f>J9*(1+E10)</f>
        <v/>
      </c>
      <c r="K10" s="11">
        <f>K9*(1-H10)</f>
        <v/>
      </c>
      <c r="L10" s="12">
        <f>J10-K10</f>
        <v/>
      </c>
      <c r="M10" s="13">
        <f>L10/J10</f>
        <v/>
      </c>
    </row>
    <row r="11">
      <c r="A11" s="5" t="n">
        <v>1995</v>
      </c>
      <c r="B11" s="6" t="n">
        <v>0.4</v>
      </c>
      <c r="C11" s="6" t="n">
        <v>0.16</v>
      </c>
      <c r="D11" s="6" t="n">
        <v>0.09</v>
      </c>
      <c r="E11" s="7">
        <f>(B11*0.35 + C11*0.30 + D11*0.35)</f>
        <v/>
      </c>
      <c r="F11" s="8">
        <f>F10*(1-E11)</f>
        <v/>
      </c>
      <c r="G11" s="6" t="n">
        <v>0.043</v>
      </c>
      <c r="H11" s="6" t="n">
        <v>0.022</v>
      </c>
      <c r="I11" s="9">
        <f>-E11+G11</f>
        <v/>
      </c>
      <c r="J11" s="10">
        <f>J10*(1+E11)</f>
        <v/>
      </c>
      <c r="K11" s="11">
        <f>K10*(1-H11)</f>
        <v/>
      </c>
      <c r="L11" s="12">
        <f>J11-K11</f>
        <v/>
      </c>
      <c r="M11" s="13">
        <f>L11/J11</f>
        <v/>
      </c>
    </row>
    <row r="12">
      <c r="A12" s="5" t="n">
        <v>1996</v>
      </c>
      <c r="B12" s="6" t="n">
        <v>0.42</v>
      </c>
      <c r="C12" s="6" t="n">
        <v>0.18</v>
      </c>
      <c r="D12" s="6" t="n">
        <v>0.1</v>
      </c>
      <c r="E12" s="7">
        <f>(B12*0.35 + C12*0.30 + D12*0.35)</f>
        <v/>
      </c>
      <c r="F12" s="8">
        <f>F11*(1-E12)</f>
        <v/>
      </c>
      <c r="G12" s="6" t="n">
        <v>0.051</v>
      </c>
      <c r="H12" s="6" t="n">
        <v>0.023</v>
      </c>
      <c r="I12" s="9">
        <f>-E12+G12</f>
        <v/>
      </c>
      <c r="J12" s="10">
        <f>J11*(1+E12)</f>
        <v/>
      </c>
      <c r="K12" s="11">
        <f>K11*(1-H12)</f>
        <v/>
      </c>
      <c r="L12" s="12">
        <f>J12-K12</f>
        <v/>
      </c>
      <c r="M12" s="13">
        <f>L12/J12</f>
        <v/>
      </c>
    </row>
    <row r="13">
      <c r="A13" s="5" t="n">
        <v>1997</v>
      </c>
      <c r="B13" s="6" t="n">
        <v>0.43</v>
      </c>
      <c r="C13" s="6" t="n">
        <v>0.2</v>
      </c>
      <c r="D13" s="6" t="n">
        <v>0.11</v>
      </c>
      <c r="E13" s="7">
        <f>(B13*0.35 + C13*0.30 + D13*0.35)</f>
        <v/>
      </c>
      <c r="F13" s="8">
        <f>F12*(1-E13)</f>
        <v/>
      </c>
      <c r="G13" s="6" t="n">
        <v>0.062</v>
      </c>
      <c r="H13" s="6" t="n">
        <v>0.025</v>
      </c>
      <c r="I13" s="9">
        <f>-E13+G13</f>
        <v/>
      </c>
      <c r="J13" s="10">
        <f>J12*(1+E13)</f>
        <v/>
      </c>
      <c r="K13" s="11">
        <f>K12*(1-H13)</f>
        <v/>
      </c>
      <c r="L13" s="12">
        <f>J13-K13</f>
        <v/>
      </c>
      <c r="M13" s="13">
        <f>L13/J13</f>
        <v/>
      </c>
    </row>
    <row r="14">
      <c r="A14" s="5" t="n">
        <v>1998</v>
      </c>
      <c r="B14" s="6" t="n">
        <v>0.45</v>
      </c>
      <c r="C14" s="6" t="n">
        <v>0.22</v>
      </c>
      <c r="D14" s="6" t="n">
        <v>0.12</v>
      </c>
      <c r="E14" s="7">
        <f>(B14*0.35 + C14*0.30 + D14*0.35)</f>
        <v/>
      </c>
      <c r="F14" s="8">
        <f>F13*(1-E14)</f>
        <v/>
      </c>
      <c r="G14" s="6" t="n">
        <v>0.058</v>
      </c>
      <c r="H14" s="6" t="n">
        <v>0.028</v>
      </c>
      <c r="I14" s="9">
        <f>-E14+G14</f>
        <v/>
      </c>
      <c r="J14" s="10">
        <f>J13*(1+E14)</f>
        <v/>
      </c>
      <c r="K14" s="11">
        <f>K13*(1-H14)</f>
        <v/>
      </c>
      <c r="L14" s="12">
        <f>J14-K14</f>
        <v/>
      </c>
      <c r="M14" s="13">
        <f>L14/J14</f>
        <v/>
      </c>
    </row>
    <row r="15">
      <c r="A15" s="5" t="n">
        <v>1999</v>
      </c>
      <c r="B15" s="6" t="n">
        <v>0.46</v>
      </c>
      <c r="C15" s="6" t="n">
        <v>0.25</v>
      </c>
      <c r="D15" s="6" t="n">
        <v>0.13</v>
      </c>
      <c r="E15" s="7">
        <f>(B15*0.35 + C15*0.30 + D15*0.35)</f>
        <v/>
      </c>
      <c r="F15" s="8">
        <f>F14*(1-E15)</f>
        <v/>
      </c>
      <c r="G15" s="6" t="n">
        <v>0.064</v>
      </c>
      <c r="H15" s="6" t="n">
        <v>0.034</v>
      </c>
      <c r="I15" s="9">
        <f>-E15+G15</f>
        <v/>
      </c>
      <c r="J15" s="10">
        <f>J14*(1+E15)</f>
        <v/>
      </c>
      <c r="K15" s="11">
        <f>K14*(1-H15)</f>
        <v/>
      </c>
      <c r="L15" s="12">
        <f>J15-K15</f>
        <v/>
      </c>
      <c r="M15" s="13">
        <f>L15/J15</f>
        <v/>
      </c>
    </row>
    <row r="16">
      <c r="A16" s="5" t="n">
        <v>2000</v>
      </c>
      <c r="B16" s="6" t="n">
        <v>0.48</v>
      </c>
      <c r="C16" s="6" t="n">
        <v>0.28</v>
      </c>
      <c r="D16" s="6" t="n">
        <v>0.14</v>
      </c>
      <c r="E16" s="7">
        <f>(B16*0.35 + C16*0.30 + D16*0.35)</f>
        <v/>
      </c>
      <c r="F16" s="8">
        <f>F15*(1-E16)</f>
        <v/>
      </c>
      <c r="G16" s="6" t="n">
        <v>0.07200000000000001</v>
      </c>
      <c r="H16" s="6" t="n">
        <v>0.027</v>
      </c>
      <c r="I16" s="9">
        <f>-E16+G16</f>
        <v/>
      </c>
      <c r="J16" s="10">
        <f>J15*(1+E16)</f>
        <v/>
      </c>
      <c r="K16" s="11">
        <f>K15*(1-H16)</f>
        <v/>
      </c>
      <c r="L16" s="12">
        <f>J16-K16</f>
        <v/>
      </c>
      <c r="M16" s="13">
        <f>L16/J16</f>
        <v/>
      </c>
      <c r="N16" s="14" t="inlineStr">
        <is>
          <t>Dot-com boom, internet mainstream</t>
        </is>
      </c>
    </row>
    <row r="17">
      <c r="A17" s="5" t="n">
        <v>2001</v>
      </c>
      <c r="B17" s="6" t="n">
        <v>0.47</v>
      </c>
      <c r="C17" s="6" t="n">
        <v>0.3</v>
      </c>
      <c r="D17" s="6" t="n">
        <v>0.15</v>
      </c>
      <c r="E17" s="7">
        <f>(B17*0.35 + C17*0.30 + D17*0.35)</f>
        <v/>
      </c>
      <c r="F17" s="8">
        <f>F16*(1-E17)</f>
        <v/>
      </c>
      <c r="G17" s="6" t="n">
        <v>0.059</v>
      </c>
      <c r="H17" s="6" t="n">
        <v>0.021</v>
      </c>
      <c r="I17" s="9">
        <f>-E17+G17</f>
        <v/>
      </c>
      <c r="J17" s="10">
        <f>J16*(1+E17)</f>
        <v/>
      </c>
      <c r="K17" s="11">
        <f>K16*(1-H17)</f>
        <v/>
      </c>
      <c r="L17" s="12">
        <f>J17-K17</f>
        <v/>
      </c>
      <c r="M17" s="13">
        <f>L17/J17</f>
        <v/>
      </c>
    </row>
    <row r="18">
      <c r="A18" s="5" t="n">
        <v>2002</v>
      </c>
      <c r="B18" s="6" t="n">
        <v>0.46</v>
      </c>
      <c r="C18" s="6" t="n">
        <v>0.32</v>
      </c>
      <c r="D18" s="6" t="n">
        <v>0.16</v>
      </c>
      <c r="E18" s="7">
        <f>(B18*0.35 + C18*0.30 + D18*0.35)</f>
        <v/>
      </c>
      <c r="F18" s="8">
        <f>F17*(1-E18)</f>
        <v/>
      </c>
      <c r="G18" s="6" t="n">
        <v>0.068</v>
      </c>
      <c r="H18" s="6" t="n">
        <v>0.016</v>
      </c>
      <c r="I18" s="9">
        <f>-E18+G18</f>
        <v/>
      </c>
      <c r="J18" s="10">
        <f>J17*(1+E18)</f>
        <v/>
      </c>
      <c r="K18" s="11">
        <f>K17*(1-H18)</f>
        <v/>
      </c>
      <c r="L18" s="12">
        <f>J18-K18</f>
        <v/>
      </c>
      <c r="M18" s="13">
        <f>L18/J18</f>
        <v/>
      </c>
    </row>
    <row r="19">
      <c r="A19" s="5" t="n">
        <v>2003</v>
      </c>
      <c r="B19" s="6" t="n">
        <v>0.45</v>
      </c>
      <c r="C19" s="6" t="n">
        <v>0.33</v>
      </c>
      <c r="D19" s="6" t="n">
        <v>0.17</v>
      </c>
      <c r="E19" s="7">
        <f>(B19*0.35 + C19*0.30 + D19*0.35)</f>
        <v/>
      </c>
      <c r="F19" s="8">
        <f>F18*(1-E19)</f>
        <v/>
      </c>
      <c r="G19" s="6" t="n">
        <v>0.05400000000000001</v>
      </c>
      <c r="H19" s="6" t="n">
        <v>0.015</v>
      </c>
      <c r="I19" s="9">
        <f>-E19+G19</f>
        <v/>
      </c>
      <c r="J19" s="10">
        <f>J18*(1+E19)</f>
        <v/>
      </c>
      <c r="K19" s="11">
        <f>K18*(1-H19)</f>
        <v/>
      </c>
      <c r="L19" s="12">
        <f>J19-K19</f>
        <v/>
      </c>
      <c r="M19" s="13">
        <f>L19/J19</f>
        <v/>
      </c>
    </row>
    <row r="20">
      <c r="A20" s="5" t="n">
        <v>2004</v>
      </c>
      <c r="B20" s="6" t="n">
        <v>0.44</v>
      </c>
      <c r="C20" s="6" t="n">
        <v>0.32</v>
      </c>
      <c r="D20" s="6" t="n">
        <v>0.18</v>
      </c>
      <c r="E20" s="7">
        <f>(B20*0.35 + C20*0.30 + D20*0.35)</f>
        <v/>
      </c>
      <c r="F20" s="8">
        <f>F19*(1-E20)</f>
        <v/>
      </c>
      <c r="G20" s="6" t="n">
        <v>0.061</v>
      </c>
      <c r="H20" s="6" t="n">
        <v>0.001</v>
      </c>
      <c r="I20" s="9">
        <f>-E20+G20</f>
        <v/>
      </c>
      <c r="J20" s="10">
        <f>J19*(1+E20)</f>
        <v/>
      </c>
      <c r="K20" s="11">
        <f>K19*(1-H20)</f>
        <v/>
      </c>
      <c r="L20" s="12">
        <f>J20-K20</f>
        <v/>
      </c>
      <c r="M20" s="13">
        <f>L20/J20</f>
        <v/>
      </c>
    </row>
    <row r="21">
      <c r="A21" s="5" t="n">
        <v>2005</v>
      </c>
      <c r="B21" s="6" t="n">
        <v>0.43</v>
      </c>
      <c r="C21" s="6" t="n">
        <v>0.3</v>
      </c>
      <c r="D21" s="6" t="n">
        <v>0.19</v>
      </c>
      <c r="E21" s="7">
        <f>(B21*0.35 + C21*0.30 + D21*0.35)</f>
        <v/>
      </c>
      <c r="F21" s="8">
        <f>F20*(1-E21)</f>
        <v/>
      </c>
      <c r="G21" s="6" t="n">
        <v>0.078</v>
      </c>
      <c r="H21" s="6" t="n">
        <v>0.006999999999999999</v>
      </c>
      <c r="I21" s="9">
        <f>-E21+G21</f>
        <v/>
      </c>
      <c r="J21" s="10">
        <f>J20*(1+E21)</f>
        <v/>
      </c>
      <c r="K21" s="11">
        <f>K20*(1-H21)</f>
        <v/>
      </c>
      <c r="L21" s="12">
        <f>J21-K21</f>
        <v/>
      </c>
      <c r="M21" s="13">
        <f>L21/J21</f>
        <v/>
      </c>
    </row>
    <row r="22">
      <c r="A22" s="5" t="n">
        <v>2006</v>
      </c>
      <c r="B22" s="6" t="n">
        <v>0.42</v>
      </c>
      <c r="C22" s="6" t="n">
        <v>0.28</v>
      </c>
      <c r="D22" s="6" t="n">
        <v>0.2</v>
      </c>
      <c r="E22" s="7">
        <f>(B22*0.35 + C22*0.30 + D22*0.35)</f>
        <v/>
      </c>
      <c r="F22" s="8">
        <f>F21*(1-E22)</f>
        <v/>
      </c>
      <c r="G22" s="6" t="n">
        <v>0.063</v>
      </c>
      <c r="H22" s="6" t="n">
        <v>0.013</v>
      </c>
      <c r="I22" s="9">
        <f>-E22+G22</f>
        <v/>
      </c>
      <c r="J22" s="10">
        <f>J21*(1+E22)</f>
        <v/>
      </c>
      <c r="K22" s="11">
        <f>K21*(1-H22)</f>
        <v/>
      </c>
      <c r="L22" s="12">
        <f>J22-K22</f>
        <v/>
      </c>
      <c r="M22" s="13">
        <f>L22/J22</f>
        <v/>
      </c>
    </row>
    <row r="23">
      <c r="A23" s="5" t="n">
        <v>2007</v>
      </c>
      <c r="B23" s="6" t="n">
        <v>0.41</v>
      </c>
      <c r="C23" s="6" t="n">
        <v>0.26</v>
      </c>
      <c r="D23" s="6" t="n">
        <v>0.21</v>
      </c>
      <c r="E23" s="7">
        <f>(B23*0.35 + C23*0.30 + D23*0.35)</f>
        <v/>
      </c>
      <c r="F23" s="8">
        <f>F22*(1-E23)</f>
        <v/>
      </c>
      <c r="G23" s="6" t="n">
        <v>0.057</v>
      </c>
      <c r="H23" s="6" t="n">
        <v>0.021</v>
      </c>
      <c r="I23" s="9">
        <f>-E23+G23</f>
        <v/>
      </c>
      <c r="J23" s="10">
        <f>J22*(1+E23)</f>
        <v/>
      </c>
      <c r="K23" s="11">
        <f>K22*(1-H23)</f>
        <v/>
      </c>
      <c r="L23" s="12">
        <f>J23-K23</f>
        <v/>
      </c>
      <c r="M23" s="13">
        <f>L23/J23</f>
        <v/>
      </c>
    </row>
    <row r="24">
      <c r="A24" s="5" t="n">
        <v>2008</v>
      </c>
      <c r="B24" s="6" t="n">
        <v>0.4</v>
      </c>
      <c r="C24" s="6" t="n">
        <v>0.24</v>
      </c>
      <c r="D24" s="6" t="n">
        <v>0.22</v>
      </c>
      <c r="E24" s="7">
        <f>(B24*0.35 + C24*0.30 + D24*0.35)</f>
        <v/>
      </c>
      <c r="F24" s="8">
        <f>F23*(1-E24)</f>
        <v/>
      </c>
      <c r="G24" s="6" t="n">
        <v>0.06900000000000001</v>
      </c>
      <c r="H24" s="6" t="n">
        <v>0.024</v>
      </c>
      <c r="I24" s="9">
        <f>-E24+G24</f>
        <v/>
      </c>
      <c r="J24" s="10">
        <f>J23*(1+E24)</f>
        <v/>
      </c>
      <c r="K24" s="11">
        <f>K23*(1-H24)</f>
        <v/>
      </c>
      <c r="L24" s="12">
        <f>J24-K24</f>
        <v/>
      </c>
      <c r="M24" s="13">
        <f>L24/J24</f>
        <v/>
      </c>
      <c r="N24" s="14" t="inlineStr">
        <is>
          <t>Financial crisis, QE begins</t>
        </is>
      </c>
    </row>
    <row r="25">
      <c r="A25" s="5" t="n">
        <v>2009</v>
      </c>
      <c r="B25" s="6" t="n">
        <v>0.39</v>
      </c>
      <c r="C25" s="6" t="n">
        <v>0.22</v>
      </c>
      <c r="D25" s="6" t="n">
        <v>0.23</v>
      </c>
      <c r="E25" s="7">
        <f>(B25*0.35 + C25*0.30 + D25*0.35)</f>
        <v/>
      </c>
      <c r="F25" s="8">
        <f>F24*(1-E25)</f>
        <v/>
      </c>
      <c r="G25" s="6" t="n">
        <v>0.07400000000000001</v>
      </c>
      <c r="H25" s="6" t="n">
        <v>0.018</v>
      </c>
      <c r="I25" s="9">
        <f>-E25+G25</f>
        <v/>
      </c>
      <c r="J25" s="10">
        <f>J24*(1+E25)</f>
        <v/>
      </c>
      <c r="K25" s="11">
        <f>K24*(1-H25)</f>
        <v/>
      </c>
      <c r="L25" s="12">
        <f>J25-K25</f>
        <v/>
      </c>
      <c r="M25" s="13">
        <f>L25/J25</f>
        <v/>
      </c>
    </row>
    <row r="26">
      <c r="A26" s="5" t="n">
        <v>2010</v>
      </c>
      <c r="B26" s="6" t="n">
        <v>0.38</v>
      </c>
      <c r="C26" s="6" t="n">
        <v>0.2</v>
      </c>
      <c r="D26" s="6" t="n">
        <v>0.24</v>
      </c>
      <c r="E26" s="7">
        <f>(B26*0.35 + C26*0.30 + D26*0.35)</f>
        <v/>
      </c>
      <c r="F26" s="8">
        <f>F25*(1-E26)</f>
        <v/>
      </c>
      <c r="G26" s="6" t="n">
        <v>0.068</v>
      </c>
      <c r="H26" s="6" t="n">
        <v>0.023</v>
      </c>
      <c r="I26" s="9">
        <f>-E26+G26</f>
        <v/>
      </c>
      <c r="J26" s="10">
        <f>J25*(1+E26)</f>
        <v/>
      </c>
      <c r="K26" s="11">
        <f>K25*(1-H26)</f>
        <v/>
      </c>
      <c r="L26" s="12">
        <f>J26-K26</f>
        <v/>
      </c>
      <c r="M26" s="13">
        <f>L26/J26</f>
        <v/>
      </c>
    </row>
    <row r="27">
      <c r="A27" s="5" t="n">
        <v>2011</v>
      </c>
      <c r="B27" s="6" t="n">
        <v>0.37</v>
      </c>
      <c r="C27" s="6" t="n">
        <v>0.18</v>
      </c>
      <c r="D27" s="6" t="n">
        <v>0.25</v>
      </c>
      <c r="E27" s="7">
        <f>(B27*0.35 + C27*0.30 + D27*0.35)</f>
        <v/>
      </c>
      <c r="F27" s="8">
        <f>F26*(1-E27)</f>
        <v/>
      </c>
      <c r="G27" s="6" t="n">
        <v>0.052</v>
      </c>
      <c r="H27" s="6" t="n">
        <v>0.012</v>
      </c>
      <c r="I27" s="9">
        <f>-E27+G27</f>
        <v/>
      </c>
      <c r="J27" s="10">
        <f>J26*(1+E27)</f>
        <v/>
      </c>
      <c r="K27" s="11">
        <f>K26*(1-H27)</f>
        <v/>
      </c>
      <c r="L27" s="12">
        <f>J27-K27</f>
        <v/>
      </c>
      <c r="M27" s="13">
        <f>L27/J27</f>
        <v/>
      </c>
    </row>
    <row r="28">
      <c r="A28" s="5" t="n">
        <v>2012</v>
      </c>
      <c r="B28" s="6" t="n">
        <v>0.36</v>
      </c>
      <c r="C28" s="6" t="n">
        <v>0.16</v>
      </c>
      <c r="D28" s="6" t="n">
        <v>0.26</v>
      </c>
      <c r="E28" s="7">
        <f>(B28*0.35 + C28*0.30 + D28*0.35)</f>
        <v/>
      </c>
      <c r="F28" s="8">
        <f>F27*(1-E28)</f>
        <v/>
      </c>
      <c r="G28" s="6" t="n">
        <v>0.08900000000000001</v>
      </c>
      <c r="H28" s="6" t="n">
        <v>0.014</v>
      </c>
      <c r="I28" s="9">
        <f>-E28+G28</f>
        <v/>
      </c>
      <c r="J28" s="10">
        <f>J27*(1+E28)</f>
        <v/>
      </c>
      <c r="K28" s="11">
        <f>K27*(1-H28)</f>
        <v/>
      </c>
      <c r="L28" s="12">
        <f>J28-K28</f>
        <v/>
      </c>
      <c r="M28" s="13">
        <f>L28/J28</f>
        <v/>
      </c>
    </row>
    <row r="29">
      <c r="A29" s="5" t="n">
        <v>2013</v>
      </c>
      <c r="B29" s="6" t="n">
        <v>0.35</v>
      </c>
      <c r="C29" s="6" t="n">
        <v>0.15</v>
      </c>
      <c r="D29" s="6" t="n">
        <v>0.27</v>
      </c>
      <c r="E29" s="7">
        <f>(B29*0.35 + C29*0.30 + D29*0.35)</f>
        <v/>
      </c>
      <c r="F29" s="8">
        <f>F28*(1-E29)</f>
        <v/>
      </c>
      <c r="G29" s="6" t="n">
        <v>0.102</v>
      </c>
      <c r="H29" s="6" t="n">
        <v>0.047</v>
      </c>
      <c r="I29" s="9">
        <f>-E29+G29</f>
        <v/>
      </c>
      <c r="J29" s="10">
        <f>J28*(1+E29)</f>
        <v/>
      </c>
      <c r="K29" s="11">
        <f>K28*(1-H29)</f>
        <v/>
      </c>
      <c r="L29" s="12">
        <f>J29-K29</f>
        <v/>
      </c>
      <c r="M29" s="13">
        <f>L29/J29</f>
        <v/>
      </c>
    </row>
    <row r="30">
      <c r="A30" s="5" t="n">
        <v>2014</v>
      </c>
      <c r="B30" s="6" t="n">
        <v>0.34</v>
      </c>
      <c r="C30" s="6" t="n">
        <v>0.14</v>
      </c>
      <c r="D30" s="6" t="n">
        <v>0.28</v>
      </c>
      <c r="E30" s="7">
        <f>(B30*0.35 + C30*0.30 + D30*0.35)</f>
        <v/>
      </c>
      <c r="F30" s="8">
        <f>F29*(1-E30)</f>
        <v/>
      </c>
      <c r="G30" s="6" t="n">
        <v>0.239</v>
      </c>
      <c r="H30" s="6" t="n">
        <v>0.08</v>
      </c>
      <c r="I30" s="9">
        <f>-E30+G30</f>
        <v/>
      </c>
      <c r="J30" s="10">
        <f>J29*(1+E30)</f>
        <v/>
      </c>
      <c r="K30" s="11">
        <f>K29*(1-H30)</f>
        <v/>
      </c>
      <c r="L30" s="12">
        <f>J30-K30</f>
        <v/>
      </c>
      <c r="M30" s="13">
        <f>L30/J30</f>
        <v/>
      </c>
    </row>
    <row r="31">
      <c r="A31" s="5" t="n">
        <v>2015</v>
      </c>
      <c r="B31" s="6" t="n">
        <v>0.33</v>
      </c>
      <c r="C31" s="6" t="n">
        <v>0.13</v>
      </c>
      <c r="D31" s="6" t="n">
        <v>0.29</v>
      </c>
      <c r="E31" s="7">
        <f>(B31*0.35 + C31*0.30 + D31*0.35)</f>
        <v/>
      </c>
      <c r="F31" s="8">
        <f>F30*(1-E31)</f>
        <v/>
      </c>
      <c r="G31" s="6" t="n">
        <v>0.125</v>
      </c>
      <c r="H31" s="6" t="n">
        <v>0.04099999999999999</v>
      </c>
      <c r="I31" s="9">
        <f>-E31+G31</f>
        <v/>
      </c>
      <c r="J31" s="10">
        <f>J30*(1+E31)</f>
        <v/>
      </c>
      <c r="K31" s="11">
        <f>K30*(1-H31)</f>
        <v/>
      </c>
      <c r="L31" s="12">
        <f>J31-K31</f>
        <v/>
      </c>
      <c r="M31" s="13">
        <f>L31/J31</f>
        <v/>
      </c>
      <c r="N31" s="14" t="inlineStr">
        <is>
          <t>Smartphones universal, solar competitive</t>
        </is>
      </c>
    </row>
    <row r="32">
      <c r="A32" s="5" t="n">
        <v>2016</v>
      </c>
      <c r="B32" s="6" t="n">
        <v>0.32</v>
      </c>
      <c r="C32" s="6" t="n">
        <v>0.12</v>
      </c>
      <c r="D32" s="6" t="n">
        <v>0.3</v>
      </c>
      <c r="E32" s="7">
        <f>(B32*0.35 + C32*0.30 + D32*0.35)</f>
        <v/>
      </c>
      <c r="F32" s="8">
        <f>F31*(1-E32)</f>
        <v/>
      </c>
      <c r="G32" s="6" t="n">
        <v>0.062</v>
      </c>
      <c r="H32" s="6" t="n">
        <v>0.034</v>
      </c>
      <c r="I32" s="9">
        <f>-E32+G32</f>
        <v/>
      </c>
      <c r="J32" s="10">
        <f>J31*(1+E32)</f>
        <v/>
      </c>
      <c r="K32" s="11">
        <f>K31*(1-H32)</f>
        <v/>
      </c>
      <c r="L32" s="12">
        <f>J32-K32</f>
        <v/>
      </c>
      <c r="M32" s="13">
        <f>L32/J32</f>
        <v/>
      </c>
    </row>
    <row r="33">
      <c r="A33" s="5" t="n">
        <v>2017</v>
      </c>
      <c r="B33" s="6" t="n">
        <v>0.31</v>
      </c>
      <c r="C33" s="6" t="n">
        <v>0.11</v>
      </c>
      <c r="D33" s="6" t="n">
        <v>0.31</v>
      </c>
      <c r="E33" s="7">
        <f>(B33*0.35 + C33*0.30 + D33*0.35)</f>
        <v/>
      </c>
      <c r="F33" s="8">
        <f>F32*(1-E33)</f>
        <v/>
      </c>
      <c r="G33" s="6" t="n">
        <v>0.048</v>
      </c>
      <c r="H33" s="6" t="n">
        <v>0.032</v>
      </c>
      <c r="I33" s="9">
        <f>-E33+G33</f>
        <v/>
      </c>
      <c r="J33" s="10">
        <f>J32*(1+E33)</f>
        <v/>
      </c>
      <c r="K33" s="11">
        <f>K32*(1-H33)</f>
        <v/>
      </c>
      <c r="L33" s="12">
        <f>J33-K33</f>
        <v/>
      </c>
      <c r="M33" s="13">
        <f>L33/J33</f>
        <v/>
      </c>
    </row>
    <row r="34">
      <c r="A34" s="5" t="n">
        <v>2018</v>
      </c>
      <c r="B34" s="6" t="n">
        <v>0.3</v>
      </c>
      <c r="C34" s="6" t="n">
        <v>0.1</v>
      </c>
      <c r="D34" s="6" t="n">
        <v>0.32</v>
      </c>
      <c r="E34" s="7">
        <f>(B34*0.35 + C34*0.30 + D34*0.35)</f>
        <v/>
      </c>
      <c r="F34" s="8">
        <f>F33*(1-E34)</f>
        <v/>
      </c>
      <c r="G34" s="6" t="n">
        <v>0.035</v>
      </c>
      <c r="H34" s="6" t="n">
        <v>0.029</v>
      </c>
      <c r="I34" s="9">
        <f>-E34+G34</f>
        <v/>
      </c>
      <c r="J34" s="10">
        <f>J33*(1+E34)</f>
        <v/>
      </c>
      <c r="K34" s="11">
        <f>K33*(1-H34)</f>
        <v/>
      </c>
      <c r="L34" s="12">
        <f>J34-K34</f>
        <v/>
      </c>
      <c r="M34" s="13">
        <f>L34/J34</f>
        <v/>
      </c>
    </row>
    <row r="35">
      <c r="A35" s="5" t="n">
        <v>2019</v>
      </c>
      <c r="B35" s="6" t="n">
        <v>0.29</v>
      </c>
      <c r="C35" s="6" t="n">
        <v>0.09</v>
      </c>
      <c r="D35" s="6" t="n">
        <v>0.33</v>
      </c>
      <c r="E35" s="7">
        <f>(B35*0.35 + C35*0.30 + D35*0.35)</f>
        <v/>
      </c>
      <c r="F35" s="8">
        <f>F34*(1-E35)</f>
        <v/>
      </c>
      <c r="G35" s="6" t="n">
        <v>0.029</v>
      </c>
      <c r="H35" s="6" t="n">
        <v>0.024</v>
      </c>
      <c r="I35" s="9">
        <f>-E35+G35</f>
        <v/>
      </c>
      <c r="J35" s="10">
        <f>J34*(1+E35)</f>
        <v/>
      </c>
      <c r="K35" s="11">
        <f>K34*(1-H35)</f>
        <v/>
      </c>
      <c r="L35" s="12">
        <f>J35-K35</f>
        <v/>
      </c>
      <c r="M35" s="13">
        <f>L35/J35</f>
        <v/>
      </c>
    </row>
    <row r="36">
      <c r="A36" s="5" t="n">
        <v>2020</v>
      </c>
      <c r="B36" s="6" t="n">
        <v>0.28</v>
      </c>
      <c r="C36" s="6" t="n">
        <v>0.08</v>
      </c>
      <c r="D36" s="6" t="n">
        <v>0.34</v>
      </c>
      <c r="E36" s="7">
        <f>(B36*0.35 + C36*0.30 + D36*0.35)</f>
        <v/>
      </c>
      <c r="F36" s="8">
        <f>F35*(1-E36)</f>
        <v/>
      </c>
      <c r="G36" s="6" t="n">
        <v>0.024</v>
      </c>
      <c r="H36" s="6" t="n">
        <v>0.021</v>
      </c>
      <c r="I36" s="9">
        <f>-E36+G36</f>
        <v/>
      </c>
      <c r="J36" s="10">
        <f>J35*(1+E36)</f>
        <v/>
      </c>
      <c r="K36" s="11">
        <f>K35*(1-H36)</f>
        <v/>
      </c>
      <c r="L36" s="12">
        <f>J36-K36</f>
        <v/>
      </c>
      <c r="M36" s="13">
        <f>L36/J36</f>
        <v/>
      </c>
      <c r="N36" s="14" t="inlineStr">
        <is>
          <t>COVID, massive monetary expansion</t>
        </is>
      </c>
    </row>
    <row r="37">
      <c r="A37" s="5" t="n">
        <v>2021</v>
      </c>
      <c r="B37" s="6" t="n">
        <v>0.27</v>
      </c>
      <c r="C37" s="6" t="n">
        <v>0.07000000000000001</v>
      </c>
      <c r="D37" s="6" t="n">
        <v>0.35</v>
      </c>
      <c r="E37" s="7">
        <f>(B37*0.35 + C37*0.30 + D37*0.35)</f>
        <v/>
      </c>
      <c r="F37" s="8">
        <f>F36*(1-E37)</f>
        <v/>
      </c>
      <c r="G37" s="6" t="n">
        <v>0.027</v>
      </c>
      <c r="H37" s="6" t="n">
        <v>0.023</v>
      </c>
      <c r="I37" s="9">
        <f>-E37+G37</f>
        <v/>
      </c>
      <c r="J37" s="10">
        <f>J36*(1+E37)</f>
        <v/>
      </c>
      <c r="K37" s="11">
        <f>K36*(1-H37)</f>
        <v/>
      </c>
      <c r="L37" s="12">
        <f>J37-K37</f>
        <v/>
      </c>
      <c r="M37" s="13">
        <f>L37/J37</f>
        <v/>
      </c>
    </row>
    <row r="38">
      <c r="A38" s="5" t="n">
        <v>2022</v>
      </c>
      <c r="B38" s="6" t="n">
        <v>0.26</v>
      </c>
      <c r="C38" s="6" t="n">
        <v>0.06</v>
      </c>
      <c r="D38" s="6" t="n">
        <v>0.3</v>
      </c>
      <c r="E38" s="7">
        <f>(B38*0.35 + C38*0.30 + D38*0.35)</f>
        <v/>
      </c>
      <c r="F38" s="8">
        <f>F37*(1-E38)</f>
        <v/>
      </c>
      <c r="G38" s="6" t="n">
        <v>0.032</v>
      </c>
      <c r="H38" s="6" t="n">
        <v>0.029</v>
      </c>
      <c r="I38" s="9">
        <f>-E38+G38</f>
        <v/>
      </c>
      <c r="J38" s="10">
        <f>J37*(1+E38)</f>
        <v/>
      </c>
      <c r="K38" s="11">
        <f>K37*(1-H38)</f>
        <v/>
      </c>
      <c r="L38" s="12">
        <f>J38-K38</f>
        <v/>
      </c>
      <c r="M38" s="13">
        <f>L38/J38</f>
        <v/>
      </c>
    </row>
    <row r="39">
      <c r="A39" s="5" t="n">
        <v>2023</v>
      </c>
      <c r="B39" s="6" t="n">
        <v>0.25</v>
      </c>
      <c r="C39" s="6" t="n">
        <v>0.05</v>
      </c>
      <c r="D39" s="6" t="n">
        <v>0.36</v>
      </c>
      <c r="E39" s="7">
        <f>(B39*0.35 + C39*0.30 + D39*0.35)</f>
        <v/>
      </c>
      <c r="F39" s="8">
        <f>F38*(1-E39)</f>
        <v/>
      </c>
      <c r="G39" s="6" t="n">
        <v>0.028</v>
      </c>
      <c r="H39" s="6" t="n">
        <v>0.034</v>
      </c>
      <c r="I39" s="9">
        <f>-E39+G39</f>
        <v/>
      </c>
      <c r="J39" s="10">
        <f>J38*(1+E39)</f>
        <v/>
      </c>
      <c r="K39" s="11">
        <f>K38*(1-H39)</f>
        <v/>
      </c>
      <c r="L39" s="12">
        <f>J39-K39</f>
        <v/>
      </c>
      <c r="M39" s="13">
        <f>L39/J39</f>
        <v/>
      </c>
    </row>
    <row r="40">
      <c r="A40" s="5" t="n">
        <v>2024</v>
      </c>
      <c r="B40" s="6" t="n">
        <v>0.24</v>
      </c>
      <c r="C40" s="6" t="n">
        <v>0.04</v>
      </c>
      <c r="D40" s="6" t="n">
        <v>0.38</v>
      </c>
      <c r="E40" s="7">
        <f>(B40*0.35 + C40*0.30 + D40*0.35)</f>
        <v/>
      </c>
      <c r="F40" s="8">
        <f>F39*(1-E40)</f>
        <v/>
      </c>
      <c r="G40" s="6" t="n">
        <v>0.026</v>
      </c>
      <c r="H40" s="6" t="n">
        <v>0.027</v>
      </c>
      <c r="I40" s="9">
        <f>-E40+G40</f>
        <v/>
      </c>
      <c r="J40" s="10">
        <f>J39*(1+E40)</f>
        <v/>
      </c>
      <c r="K40" s="11">
        <f>K39*(1-H40)</f>
        <v/>
      </c>
      <c r="L40" s="12">
        <f>J40-K40</f>
        <v/>
      </c>
      <c r="M40" s="13">
        <f>L40/J40</f>
        <v/>
      </c>
      <c r="N40" s="14" t="inlineStr">
        <is>
          <t>Solar cheapest energy ever, AI boom</t>
        </is>
      </c>
    </row>
    <row r="43">
      <c r="A43" s="15" t="inlineStr">
        <is>
          <t>THE VERDICT: QUANTIFYING STOLEN ABUNDANCE</t>
        </is>
      </c>
    </row>
    <row r="44">
      <c r="A44" s="16" t="inlineStr">
        <is>
          <t>Average Annual Technology Deflation:</t>
        </is>
      </c>
      <c r="D44" s="17">
        <f>AVERAGE(E6:E40)</f>
        <v/>
      </c>
    </row>
    <row r="45">
      <c r="A45" s="16" t="inlineStr">
        <is>
          <t>Average Annual M2 Monetary Expansion:</t>
        </is>
      </c>
      <c r="D45" s="18">
        <f>AVERAGE(G6:G40)</f>
        <v/>
      </c>
    </row>
    <row r="46">
      <c r="A46" s="16" t="inlineStr">
        <is>
          <t>Average Annual Official CPI:</t>
        </is>
      </c>
      <c r="D46" s="18">
        <f>AVERAGE(H6:H40)</f>
        <v/>
      </c>
    </row>
    <row r="48">
      <c r="A48" s="16" t="inlineStr">
        <is>
          <t>What $100 in 1990 SHOULD Buy Today (Tech):</t>
        </is>
      </c>
      <c r="D48" s="19">
        <f>J40</f>
        <v/>
      </c>
    </row>
    <row r="49">
      <c r="A49" s="16" t="inlineStr">
        <is>
          <t>What $100 in 1990 ACTUALLY Buys Today (CPI):</t>
        </is>
      </c>
      <c r="D49" s="20">
        <f>K40</f>
        <v/>
      </c>
    </row>
    <row r="50">
      <c r="A50" s="16" t="inlineStr">
        <is>
          <t>STOLEN VALUE PER $100:</t>
        </is>
      </c>
      <c r="D50" s="21">
        <f>J40-K40</f>
        <v/>
      </c>
    </row>
    <row r="52">
      <c r="A52" s="16" t="inlineStr">
        <is>
          <t>Total Cumulative Technology Deflation:</t>
        </is>
      </c>
      <c r="D52" s="17">
        <f>(J40-100)/100</f>
        <v/>
      </c>
    </row>
    <row r="53">
      <c r="A53" s="16" t="inlineStr">
        <is>
          <t>Total Cumulative CPI Inflation:</t>
        </is>
      </c>
      <c r="D53" s="22">
        <f>(K40-100)/100</f>
        <v/>
      </c>
    </row>
    <row r="54">
      <c r="A54" s="16" t="inlineStr">
        <is>
          <t>THE ABUNDANCE GAP:</t>
        </is>
      </c>
      <c r="D54" s="23">
        <f>M40</f>
        <v/>
      </c>
    </row>
    <row r="57">
      <c r="A57" s="24" t="inlineStr">
        <is>
          <t>KEY FINDINGS:</t>
        </is>
      </c>
    </row>
    <row r="58">
      <c r="A58" s="25" t="inlineStr">
        <is>
          <t>1. Technology delivers ~20-25% annual deflation across computing, communications, and energy</t>
        </is>
      </c>
    </row>
    <row r="59">
      <c r="A59" s="25" t="inlineStr">
        <is>
          <t>2. Without monetary expansion, $100 in 1990 should buy $1,500+ worth of goods today</t>
        </is>
      </c>
    </row>
    <row r="60">
      <c r="A60" s="25" t="inlineStr">
        <is>
          <t>3. Instead, $100 buys only $50-60 worth due to 60-70% CPI inflation</t>
        </is>
      </c>
    </row>
    <row r="61">
      <c r="A61" s="25" t="inlineStr">
        <is>
          <t>4. The gap represents 90%+ "stolen abundance" - deflation captured by monetary expansion</t>
        </is>
      </c>
    </row>
    <row r="62">
      <c r="A62" s="25" t="inlineStr">
        <is>
          <t>5. This means we are ~10-15x POORER than we should be from technological progress alone</t>
        </is>
      </c>
    </row>
    <row r="63">
      <c r="A63" s="25" t="inlineStr">
        <is>
          <t>6. Every year, 15-20% of technological abundance is confiscated through monetary policy</t>
        </is>
      </c>
    </row>
    <row r="64">
      <c r="A64" s="25" t="inlineStr">
        <is>
          <t>7. The "price stability" of 2% CPI masks 20%+ annual improvement being stolen</t>
        </is>
      </c>
    </row>
    <row r="67">
      <c r="A67" s="26" t="inlineStr">
        <is>
          <t>THE STOLEN ABUNDANCE THESIS:</t>
        </is>
      </c>
    </row>
    <row r="68">
      <c r="A68" s="27" t="inlineStr">
        <is>
          <t>Technology creates abundance through exponential cost reductions. Monetary expansion systematically captures this abundance before it reaches consumers. What appears as "price stability" (2-3% CPI) is actually massive deflation (20-25%) being offset by massive monetary inflation (6-7% M2 growth). The result: we experience modest price increases while technology delivers 10-20x improvements. This is the greatest theft in human history—not through direct taxation, but through the invisible confiscation of technological abundance via monetary debasement. We should be living in an age of radical abundance. Instead, we struggle to afford basics as the deflationary dividend is captured by those closest to money creation.</t>
        </is>
      </c>
    </row>
    <row r="69"/>
    <row r="70"/>
    <row r="71"/>
    <row r="73">
      <c r="A73" s="28" t="inlineStr">
        <is>
          <t>METHODOLOGY:</t>
        </is>
      </c>
    </row>
    <row r="74">
      <c r="A74" s="29" t="inlineStr">
        <is>
          <t>Composite index weighted 35% Computing, 30% Communications, 35% Energy. Data from: BLS, Federal Reserve, IRENA, BloombergNEF, IEA, NREL, AI Impacts, industry sources. Tech Purchasing Power assumes monetary neutrality (no inflation/deflation from money supply). Actual Purchasing Power uses CPI. Gap represents value destroyed. Conservative estimates - true deflation likely higher due to hedonic understatement.</t>
        </is>
      </c>
    </row>
    <row r="75"/>
  </sheetData>
  <mergeCells count="23">
    <mergeCell ref="A59:E59"/>
    <mergeCell ref="A46:C46"/>
    <mergeCell ref="A64:E64"/>
    <mergeCell ref="A60:E60"/>
    <mergeCell ref="A61:E61"/>
    <mergeCell ref="A50:C50"/>
    <mergeCell ref="A1:N1"/>
    <mergeCell ref="A74:E75"/>
    <mergeCell ref="A53:C53"/>
    <mergeCell ref="A52:C52"/>
    <mergeCell ref="A3:N3"/>
    <mergeCell ref="A44:C44"/>
    <mergeCell ref="A68:E71"/>
    <mergeCell ref="A2:N2"/>
    <mergeCell ref="A67:E67"/>
    <mergeCell ref="A48:C48"/>
    <mergeCell ref="A49:C49"/>
    <mergeCell ref="A43:E43"/>
    <mergeCell ref="A62:E62"/>
    <mergeCell ref="A45:C45"/>
    <mergeCell ref="A63:E63"/>
    <mergeCell ref="A58:E58"/>
    <mergeCell ref="A54:C5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2025-12-12T16:35:56Z</dcterms:created>
  <dcterms:modified xmlns:dcterms="http://purl.org/dc/terms/" xmlns:xsi="http://www.w3.org/2001/XMLSchema-instance" xsi:type="dcterms:W3CDTF">2025-12-12T16:35:56Z</dcterms:modified>
</cp:coreProperties>
</file>