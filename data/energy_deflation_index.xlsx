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 Defl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<sst xmlns="http://schemas.openxmlformats.org/spreadsheetml/2006/main" count="40" uniqueCount="38">
  <si>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ENERGY SECTOR DEFLATION INDEX</t>
  </si>
  <si>
    <t xml:space="preserve">Tracking the exponential decline in energy costs through technology (1990-2024)</t>
  </si>
  <si>
    <t xml:space="preserve">Year</t>
  </si>
  <si>
    <t xml:space="preserve">Solar ($/watt)</t>
  </si>
  <si>
    <t xml:space="preserve">Annual % Change</t>
  </si>
  <si>
    <t xml:space="preserve">Battery ($/kWh)</t>
  </si>
  <si>
    <t xml:space="preserve">LED Efficiency Index</t>
  </si>
  <si>
    <t xml:space="preserve">Composite Energy Deflation (%)</t>
  </si>
  <si>
    <t xml:space="preserve">Cumulative Index (Base 1990=100)</t>
  </si>
  <si>
    <t xml:space="preserve">Lost Value</t>
  </si>
  <si>
    <t xml:space="preserve">Notes</t>
  </si>
  <si>
    <t xml:space="preserve">Solar niche, batteries experimental</t>
  </si>
  <si>
    <t xml:space="preserve">Solar costs begin major decline</t>
  </si>
  <si>
    <t xml:space="preserve">Tesla Roadster launches (lithium-ion)</t>
  </si>
  <si>
    <t xml:space="preserve">Battery tracking begins, LEDs emerging</t>
  </si>
  <si>
    <t xml:space="preserve">Solar competitive, batteries declining fast</t>
  </si>
  <si>
    <t xml:space="preserve">Solar cheapest energy source in history</t>
  </si>
  <si>
    <t xml:space="preserve">Batteries &lt;$100/kWh, LEDs universal</t>
  </si>
  <si>
    <t xml:space="preserve">SUMMARY (1990-2024):</t>
  </si>
  <si>
    <t xml:space="preserve">Avg Annual Energy Deflation:</t>
  </si>
  <si>
    <t xml:space="preserve">Total Cumulative Deflation:</t>
  </si>
  <si>
    <t xml:space="preserve">Solar: 1990 vs 2024:</t>
  </si>
  <si>
    <t xml:space="preserve">$20.00 → $3.00 (85% decline)</t>
  </si>
  <si>
    <t xml:space="preserve">Batteries: 1991 vs 2024:</t>
  </si>
  <si>
    <t xml:space="preserve">$7,500 → $115 (98.5% decline)</t>
  </si>
  <si>
    <t xml:space="preserve">LED: Savings vs Incandescent:</t>
  </si>
  <si>
    <t xml:space="preserve">75-90% energy savings</t>
  </si>
  <si>
    <t xml:space="preserve">Value Lost to Inflation:</t>
  </si>
  <si>
    <t xml:space="preserve">KEY INSIGHTS:</t>
  </si>
  <si>
    <t xml:space="preserve">1. Solar: Now CHEAPEST energy source in history (IEA) at $3/watt</t>
  </si>
  <si>
    <t xml:space="preserve">2. Batteries: 99%+ decline enables EVs, grid storage, abundance</t>
  </si>
  <si>
    <t xml:space="preserve">3. LEDs: Use 75-90% less energy, last 25x longer than incandescent</t>
  </si>
  <si>
    <t xml:space="preserve">4. Wright's Law: Solar follows 20% learning rate (every doubling = 20% cheaper)</t>
  </si>
  <si>
    <t xml:space="preserve">5. Combined effect: Clean energy revolution = deflationary abundance</t>
  </si>
  <si>
    <t xml:space="preserve">6. Fossil fuel comparison: Costs stayed flat while renewables collapsed</t>
  </si>
  <si>
    <t xml:space="preserve">7. What we should pay: Near-zero marginal cost for energy storage &amp; generation</t>
  </si>
  <si>
    <t xml:space="preserve">METHODOLOGY:</t>
  </si>
  <si>
    <t xml:space="preserve">Data sources: IRENA, BloombergNEF, IEA, NREL, Department of Energy. Solar: module + installation costs per watt. Batteries: lithium-ion pack prices per kWh. LEDs: normalized efficiency index vs incandescent baseline. Composite weighted 40% solar, 35% batteries, 25% LEDs (post-2000). Critical insight: Energy deflation enables EV adoption, renewable grid transformation, distributed generation - fundamentally deflationary forces.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</si>
</sst>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.0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66092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36609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CCFFCC"/>
      </patternFill>
    </fill>
    <fill>
      <patternFill patternType="solid">
        <fgColor rgb="FFF4B084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  <col collapsed="false" customWidth="true" hidden="false" outlineLevel="0" max="11" min="11" style="0" width="3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55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4</v>
      </c>
      <c r="F4" s="3" t="s">
        <v>6</v>
      </c>
      <c r="G4" s="3" t="s">
        <v>4</v>
      </c>
      <c r="H4" s="3" t="s">
        <v>7</v>
      </c>
      <c r="I4" s="3" t="s">
        <v>8</v>
      </c>
      <c r="J4" s="3" t="s">
        <v>9</v>
      </c>
      <c r="K4" s="3" t="s">
        <v>10</v>
      </c>
    </row>
    <row r="5" customFormat="false" ht="15" hidden="false" customHeight="false" outlineLevel="0" collapsed="false">
      <c r="A5" s="4" t="n">
        <v>1990</v>
      </c>
      <c r="B5" s="5" t="n">
        <v>20</v>
      </c>
      <c r="C5" s="0" t="n">
        <v>0</v>
      </c>
      <c r="D5" s="5" t="n">
        <v>9381.8890494016</v>
      </c>
      <c r="E5" s="0" t="n">
        <v>0</v>
      </c>
      <c r="F5" s="0" t="n">
        <v>0</v>
      </c>
      <c r="G5" s="0" t="n">
        <v>0</v>
      </c>
      <c r="H5" s="0" t="n">
        <v>0</v>
      </c>
      <c r="I5" s="6" t="n">
        <v>100</v>
      </c>
      <c r="J5" s="0" t="n">
        <v>0</v>
      </c>
      <c r="K5" s="7" t="s">
        <v>11</v>
      </c>
    </row>
    <row r="6" customFormat="false" ht="15" hidden="false" customHeight="false" outlineLevel="0" collapsed="false">
      <c r="A6" s="4" t="n">
        <v>1991</v>
      </c>
      <c r="B6" s="5" t="n">
        <v>18.6606598307362</v>
      </c>
      <c r="C6" s="8" t="n">
        <f aca="false">(B6-B5)/B5</f>
        <v>-0.0669670084631925</v>
      </c>
      <c r="D6" s="5" t="n">
        <v>7500</v>
      </c>
      <c r="E6" s="8" t="n">
        <f aca="false">(D6-D5)/D5</f>
        <v>-0.200587433883758</v>
      </c>
      <c r="F6" s="0" t="n">
        <v>0</v>
      </c>
      <c r="G6" s="0" t="n">
        <v>0</v>
      </c>
      <c r="H6" s="8" t="n">
        <f aca="false">(ABS(C6)*0.6 + ABS(E6)*0.4)</f>
        <v>0.120415178631419</v>
      </c>
      <c r="I6" s="6" t="n">
        <f aca="false">I5*(1-H6)</f>
        <v>87.9584821368581</v>
      </c>
      <c r="J6" s="6" t="n">
        <f aca="false">(100-I6)</f>
        <v>12.0415178631419</v>
      </c>
    </row>
    <row r="7" customFormat="false" ht="15" hidden="false" customHeight="false" outlineLevel="0" collapsed="false">
      <c r="A7" s="4" t="n">
        <v>1992</v>
      </c>
      <c r="B7" s="5" t="n">
        <v>17.4110112659225</v>
      </c>
      <c r="C7" s="8" t="n">
        <f aca="false">(B7-B6)/B6</f>
        <v>-0.0669670084631929</v>
      </c>
      <c r="D7" s="5" t="n">
        <v>5995.59424587181</v>
      </c>
      <c r="E7" s="8" t="n">
        <f aca="false">(D7-D6)/D6</f>
        <v>-0.200587433883759</v>
      </c>
      <c r="F7" s="0" t="n">
        <v>0</v>
      </c>
      <c r="G7" s="0" t="n">
        <v>0</v>
      </c>
      <c r="H7" s="8" t="n">
        <f aca="false">(ABS(C7)*0.6 + ABS(E7)*0.4)</f>
        <v>0.120415178631419</v>
      </c>
      <c r="I7" s="6" t="n">
        <f aca="false">I6*(1-H7)</f>
        <v>77.3669457981999</v>
      </c>
      <c r="J7" s="6" t="n">
        <f aca="false">(100-I7)</f>
        <v>22.6330542018002</v>
      </c>
    </row>
    <row r="8" customFormat="false" ht="15" hidden="false" customHeight="false" outlineLevel="0" collapsed="false">
      <c r="A8" s="4" t="n">
        <v>1993</v>
      </c>
      <c r="B8" s="5" t="n">
        <v>16.2450479271247</v>
      </c>
      <c r="C8" s="8" t="n">
        <f aca="false">(B8-B7)/B7</f>
        <v>-0.0669670084631925</v>
      </c>
      <c r="D8" s="5" t="n">
        <v>4792.95338148416</v>
      </c>
      <c r="E8" s="8" t="n">
        <f aca="false">(D8-D7)/D7</f>
        <v>-0.200587433883759</v>
      </c>
      <c r="F8" s="0" t="n">
        <v>0</v>
      </c>
      <c r="G8" s="0" t="n">
        <v>0</v>
      </c>
      <c r="H8" s="8" t="n">
        <f aca="false">(ABS(C8)*0.6 + ABS(E8)*0.4)</f>
        <v>0.120415178631419</v>
      </c>
      <c r="I8" s="6" t="n">
        <f aca="false">I7*(1-H8)</f>
        <v>68.0507911997423</v>
      </c>
      <c r="J8" s="6" t="n">
        <f aca="false">(100-I8)</f>
        <v>31.9492088002577</v>
      </c>
    </row>
    <row r="9" customFormat="false" ht="15" hidden="false" customHeight="false" outlineLevel="0" collapsed="false">
      <c r="A9" s="4" t="n">
        <v>1994</v>
      </c>
      <c r="B9" s="5" t="n">
        <v>15.157165665104</v>
      </c>
      <c r="C9" s="8" t="n">
        <f aca="false">(B9-B8)/B8</f>
        <v>-0.0669670084631926</v>
      </c>
      <c r="D9" s="5" t="n">
        <v>3831.54716196777</v>
      </c>
      <c r="E9" s="8" t="n">
        <f aca="false">(D9-D8)/D8</f>
        <v>-0.200587433883759</v>
      </c>
      <c r="F9" s="0" t="n">
        <v>0</v>
      </c>
      <c r="G9" s="0" t="n">
        <v>0</v>
      </c>
      <c r="H9" s="8" t="n">
        <f aca="false">(ABS(C9)*0.6 + ABS(E9)*0.4)</f>
        <v>0.120415178631419</v>
      </c>
      <c r="I9" s="6" t="n">
        <f aca="false">I8*(1-H9)</f>
        <v>59.856443021416</v>
      </c>
      <c r="J9" s="6" t="n">
        <f aca="false">(100-I9)</f>
        <v>40.1435569785841</v>
      </c>
    </row>
    <row r="10" customFormat="false" ht="15" hidden="false" customHeight="false" outlineLevel="0" collapsed="false">
      <c r="A10" s="4" t="n">
        <v>1995</v>
      </c>
      <c r="B10" s="5" t="n">
        <v>14.142135623731</v>
      </c>
      <c r="C10" s="8" t="n">
        <f aca="false">(B10-B9)/B9</f>
        <v>-0.0669670084631926</v>
      </c>
      <c r="D10" s="5" t="n">
        <v>3062.98694894405</v>
      </c>
      <c r="E10" s="8" t="n">
        <f aca="false">(D10-D9)/D9</f>
        <v>-0.200587433883759</v>
      </c>
      <c r="F10" s="0" t="n">
        <v>0</v>
      </c>
      <c r="G10" s="0" t="n">
        <v>0</v>
      </c>
      <c r="H10" s="8" t="n">
        <f aca="false">(ABS(C10)*0.6 + ABS(E10)*0.4)</f>
        <v>0.120415178631419</v>
      </c>
      <c r="I10" s="6" t="n">
        <f aca="false">I9*(1-H10)</f>
        <v>52.6488187427508</v>
      </c>
      <c r="J10" s="6" t="n">
        <f aca="false">(100-I10)</f>
        <v>47.3511812572492</v>
      </c>
    </row>
    <row r="11" customFormat="false" ht="15" hidden="false" customHeight="false" outlineLevel="0" collapsed="false">
      <c r="A11" s="4" t="n">
        <v>1996</v>
      </c>
      <c r="B11" s="5" t="n">
        <v>13.1950791077289</v>
      </c>
      <c r="C11" s="8" t="n">
        <f aca="false">(B11-B10)/B10</f>
        <v>-0.0669670084631927</v>
      </c>
      <c r="D11" s="5" t="n">
        <v>2448.59025683592</v>
      </c>
      <c r="E11" s="8" t="n">
        <f aca="false">(D11-D10)/D10</f>
        <v>-0.200587433883759</v>
      </c>
      <c r="F11" s="0" t="n">
        <v>0</v>
      </c>
      <c r="G11" s="0" t="n">
        <v>0</v>
      </c>
      <c r="H11" s="8" t="n">
        <f aca="false">(ABS(C11)*0.6 + ABS(E11)*0.4)</f>
        <v>0.120415178631419</v>
      </c>
      <c r="I11" s="6" t="n">
        <f aca="false">I10*(1-H11)</f>
        <v>46.3091018291093</v>
      </c>
      <c r="J11" s="6" t="n">
        <f aca="false">(100-I11)</f>
        <v>53.6908981708908</v>
      </c>
    </row>
    <row r="12" customFormat="false" ht="15" hidden="false" customHeight="false" outlineLevel="0" collapsed="false">
      <c r="A12" s="4" t="n">
        <v>1997</v>
      </c>
      <c r="B12" s="5" t="n">
        <v>12.3114441334492</v>
      </c>
      <c r="C12" s="8" t="n">
        <f aca="false">(B12-B11)/B11</f>
        <v>-0.0669670084631926</v>
      </c>
      <c r="D12" s="5" t="n">
        <v>1957.43382058443</v>
      </c>
      <c r="E12" s="8" t="n">
        <f aca="false">(D12-D11)/D11</f>
        <v>-0.200587433883759</v>
      </c>
      <c r="F12" s="0" t="n">
        <v>0</v>
      </c>
      <c r="G12" s="0" t="n">
        <v>0</v>
      </c>
      <c r="H12" s="8" t="n">
        <f aca="false">(ABS(C12)*0.6 + ABS(E12)*0.4)</f>
        <v>0.120415178631419</v>
      </c>
      <c r="I12" s="6" t="n">
        <f aca="false">I11*(1-H12)</f>
        <v>40.7327830600965</v>
      </c>
      <c r="J12" s="6" t="n">
        <f aca="false">(100-I12)</f>
        <v>59.2672169399035</v>
      </c>
    </row>
    <row r="13" customFormat="false" ht="15" hidden="false" customHeight="false" outlineLevel="0" collapsed="false">
      <c r="A13" s="4" t="n">
        <v>1998</v>
      </c>
      <c r="B13" s="5" t="n">
        <v>11.4869835499704</v>
      </c>
      <c r="C13" s="8" t="n">
        <f aca="false">(B13-B12)/B12</f>
        <v>-0.0669670084631924</v>
      </c>
      <c r="D13" s="5" t="n">
        <v>1564.79719351612</v>
      </c>
      <c r="E13" s="8" t="n">
        <f aca="false">(D13-D12)/D12</f>
        <v>-0.200587433883759</v>
      </c>
      <c r="F13" s="0" t="n">
        <v>0</v>
      </c>
      <c r="G13" s="0" t="n">
        <v>0</v>
      </c>
      <c r="H13" s="8" t="n">
        <f aca="false">(ABS(C13)*0.6 + ABS(E13)*0.4)</f>
        <v>0.120415178631419</v>
      </c>
      <c r="I13" s="6" t="n">
        <f aca="false">I12*(1-H13)</f>
        <v>35.8279377117601</v>
      </c>
      <c r="J13" s="6" t="n">
        <f aca="false">(100-I13)</f>
        <v>64.1720622882399</v>
      </c>
    </row>
    <row r="14" customFormat="false" ht="15" hidden="false" customHeight="false" outlineLevel="0" collapsed="false">
      <c r="A14" s="4" t="n">
        <v>1999</v>
      </c>
      <c r="B14" s="5" t="n">
        <v>10.7177346253629</v>
      </c>
      <c r="C14" s="8" t="n">
        <f aca="false">(B14-B13)/B13</f>
        <v>-0.0669670084631928</v>
      </c>
      <c r="D14" s="5" t="n">
        <v>1250.91853992021</v>
      </c>
      <c r="E14" s="8" t="n">
        <f aca="false">(D14-D13)/D13</f>
        <v>-0.200587433883758</v>
      </c>
      <c r="F14" s="0" t="n">
        <v>0</v>
      </c>
      <c r="G14" s="0" t="n">
        <v>0</v>
      </c>
      <c r="H14" s="8" t="n">
        <f aca="false">(ABS(C14)*0.6 + ABS(E14)*0.4)</f>
        <v>0.120415178631419</v>
      </c>
      <c r="I14" s="6" t="n">
        <f aca="false">I13*(1-H14)</f>
        <v>31.5137101922032</v>
      </c>
      <c r="J14" s="6" t="n">
        <f aca="false">(100-I14)</f>
        <v>68.4862898077968</v>
      </c>
    </row>
    <row r="15" customFormat="false" ht="15" hidden="false" customHeight="false" outlineLevel="0" collapsed="false">
      <c r="A15" s="4" t="n">
        <v>2000</v>
      </c>
      <c r="B15" s="5" t="n">
        <v>10</v>
      </c>
      <c r="C15" s="8" t="n">
        <f aca="false">(B15-B14)/B14</f>
        <v>-0.0669670084631924</v>
      </c>
      <c r="D15" s="5" t="n">
        <v>1000</v>
      </c>
      <c r="E15" s="8" t="n">
        <f aca="false">(D15-D14)/D14</f>
        <v>-0.200587433883759</v>
      </c>
      <c r="F15" s="6" t="n">
        <v>100</v>
      </c>
      <c r="G15" s="0" t="n">
        <v>0</v>
      </c>
      <c r="H15" s="8" t="n">
        <f aca="false">(ABS(C15)*0.4 + ABS(E15)*0.35 + ABS(G15)*0.25)</f>
        <v>0.0969924052445925</v>
      </c>
      <c r="I15" s="6" t="n">
        <f aca="false">I14*(1-H15)</f>
        <v>28.4571196424804</v>
      </c>
      <c r="J15" s="6" t="n">
        <f aca="false">(100-I15)</f>
        <v>71.5428803575196</v>
      </c>
      <c r="K15" s="7" t="s">
        <v>12</v>
      </c>
    </row>
    <row r="16" customFormat="false" ht="15" hidden="false" customHeight="false" outlineLevel="0" collapsed="false">
      <c r="A16" s="4" t="n">
        <v>2001</v>
      </c>
      <c r="B16" s="5" t="n">
        <v>10.0692767786516</v>
      </c>
      <c r="C16" s="8" t="n">
        <f aca="false">(B16-B15)/B15</f>
        <v>0.00692767786516093</v>
      </c>
      <c r="D16" s="5" t="n">
        <v>1009.57658277689</v>
      </c>
      <c r="E16" s="8" t="n">
        <f aca="false">(D16-D15)/D15</f>
        <v>0.00957658277688699</v>
      </c>
      <c r="F16" s="6" t="n">
        <v>95.6352499790037</v>
      </c>
      <c r="G16" s="8" t="n">
        <f aca="false">(F16-F15)/F15</f>
        <v>-0.043647500209963</v>
      </c>
      <c r="H16" s="8" t="n">
        <f aca="false">(ABS(C16)*0.4 + ABS(E16)*0.35 + ABS(G16)*0.25)</f>
        <v>0.0170347501704656</v>
      </c>
      <c r="I16" s="6" t="n">
        <f aca="false">I15*(1-H16)</f>
        <v>27.9723597187997</v>
      </c>
      <c r="J16" s="6" t="n">
        <f aca="false">(100-I16)</f>
        <v>72.0276402812003</v>
      </c>
    </row>
    <row r="17" customFormat="false" ht="15" hidden="false" customHeight="false" outlineLevel="0" collapsed="false">
      <c r="A17" s="4" t="n">
        <v>2002</v>
      </c>
      <c r="B17" s="5" t="n">
        <v>10.1390334845093</v>
      </c>
      <c r="C17" s="8" t="n">
        <f aca="false">(B17-B16)/B16</f>
        <v>0.00692767786516169</v>
      </c>
      <c r="D17" s="5" t="n">
        <v>1019.24487649146</v>
      </c>
      <c r="E17" s="8" t="n">
        <f aca="false">(D17-D16)/D16</f>
        <v>0.00957658277688747</v>
      </c>
      <c r="F17" s="6" t="n">
        <v>91.4610103854653</v>
      </c>
      <c r="G17" s="8" t="n">
        <f aca="false">(F17-F16)/F16</f>
        <v>-0.043647500209963</v>
      </c>
      <c r="H17" s="8" t="n">
        <f aca="false">(ABS(C17)*0.4 + ABS(E17)*0.35 + ABS(G17)*0.25)</f>
        <v>0.0170347501704661</v>
      </c>
      <c r="I17" s="6" t="n">
        <f aca="false">I16*(1-H17)</f>
        <v>27.4958575593115</v>
      </c>
      <c r="J17" s="6" t="n">
        <f aca="false">(100-I17)</f>
        <v>72.5041424406885</v>
      </c>
    </row>
    <row r="18" customFormat="false" ht="15" hidden="false" customHeight="false" outlineLevel="0" collapsed="false">
      <c r="A18" s="4" t="n">
        <v>2003</v>
      </c>
      <c r="B18" s="5" t="n">
        <v>10.209273442354</v>
      </c>
      <c r="C18" s="8" t="n">
        <f aca="false">(B18-B17)/B17</f>
        <v>0.00692767786516185</v>
      </c>
      <c r="D18" s="5" t="n">
        <v>1029.0057594211</v>
      </c>
      <c r="E18" s="8" t="n">
        <f aca="false">(D18-D17)/D17</f>
        <v>0.0095765827768866</v>
      </c>
      <c r="F18" s="6" t="n">
        <v>87.4689659154623</v>
      </c>
      <c r="G18" s="8" t="n">
        <f aca="false">(F18-F17)/F17</f>
        <v>-0.043647500209963</v>
      </c>
      <c r="H18" s="8" t="n">
        <f aca="false">(ABS(C18)*0.4 + ABS(E18)*0.35 + ABS(G18)*0.25)</f>
        <v>0.0170347501704658</v>
      </c>
      <c r="I18" s="6" t="n">
        <f aca="false">I17*(1-H18)</f>
        <v>27.0274724950659</v>
      </c>
      <c r="J18" s="6" t="n">
        <f aca="false">(100-I18)</f>
        <v>72.9725275049341</v>
      </c>
    </row>
    <row r="19" customFormat="false" ht="15" hidden="false" customHeight="false" outlineLevel="0" collapsed="false">
      <c r="A19" s="4" t="n">
        <v>2004</v>
      </c>
      <c r="B19" s="5" t="n">
        <v>10.28</v>
      </c>
      <c r="C19" s="8" t="n">
        <f aca="false">(B19-B18)/B18</f>
        <v>0.0069276778651607</v>
      </c>
      <c r="D19" s="5" t="n">
        <v>1038.86011825409</v>
      </c>
      <c r="E19" s="8" t="n">
        <f aca="false">(D19-D18)/D18</f>
        <v>0.00957658277688728</v>
      </c>
      <c r="F19" s="6" t="n">
        <v>83.6511642073019</v>
      </c>
      <c r="G19" s="8" t="n">
        <f aca="false">(F19-F18)/F18</f>
        <v>-0.043647500209963</v>
      </c>
      <c r="H19" s="8" t="n">
        <f aca="false">(ABS(C19)*0.4 + ABS(E19)*0.35 + ABS(G19)*0.25)</f>
        <v>0.0170347501704656</v>
      </c>
      <c r="I19" s="6" t="n">
        <f aca="false">I18*(1-H19)</f>
        <v>26.5670662533734</v>
      </c>
      <c r="J19" s="6" t="n">
        <f aca="false">(100-I19)</f>
        <v>73.4329337466267</v>
      </c>
    </row>
    <row r="20" customFormat="false" ht="15" hidden="false" customHeight="false" outlineLevel="0" collapsed="false">
      <c r="A20" s="4" t="n">
        <v>2005</v>
      </c>
      <c r="B20" s="5" t="n">
        <v>9.99802314180977</v>
      </c>
      <c r="C20" s="8" t="n">
        <f aca="false">(B20-B19)/B19</f>
        <v>-0.0274296554659757</v>
      </c>
      <c r="D20" s="5" t="n">
        <v>1048.80884817015</v>
      </c>
      <c r="E20" s="8" t="n">
        <f aca="false">(D20-D19)/D19</f>
        <v>0.00957658277688725</v>
      </c>
      <c r="F20" s="6" t="n">
        <v>80</v>
      </c>
      <c r="G20" s="8" t="n">
        <f aca="false">(F20-F19)/F19</f>
        <v>-0.043647500209963</v>
      </c>
      <c r="H20" s="8" t="n">
        <f aca="false">(ABS(C20)*0.4 + ABS(E20)*0.35 + ABS(G20)*0.25)</f>
        <v>0.0252355412107916</v>
      </c>
      <c r="I20" s="6" t="n">
        <f aca="false">I19*(1-H20)</f>
        <v>25.8966319580865</v>
      </c>
      <c r="J20" s="6" t="n">
        <f aca="false">(100-I20)</f>
        <v>74.1033680419135</v>
      </c>
    </row>
    <row r="21" customFormat="false" ht="15" hidden="false" customHeight="false" outlineLevel="0" collapsed="false">
      <c r="A21" s="4" t="n">
        <v>2006</v>
      </c>
      <c r="B21" s="5" t="n">
        <v>9.72378081168908</v>
      </c>
      <c r="C21" s="8" t="n">
        <f aca="false">(B21-B20)/B20</f>
        <v>-0.0274296554659758</v>
      </c>
      <c r="D21" s="5" t="n">
        <v>1058.85285292179</v>
      </c>
      <c r="E21" s="8" t="n">
        <f aca="false">(D21-D20)/D20</f>
        <v>0.00957658277688692</v>
      </c>
      <c r="F21" s="6" t="n">
        <v>72.8225681210432</v>
      </c>
      <c r="G21" s="8" t="n">
        <f aca="false">(F21-F20)/F20</f>
        <v>-0.08971789848696</v>
      </c>
      <c r="H21" s="8" t="n">
        <f aca="false">(ABS(C21)*0.4 + ABS(E21)*0.35 + ABS(G21)*0.25)</f>
        <v>0.0367531407800407</v>
      </c>
      <c r="I21" s="6" t="n">
        <f aca="false">I20*(1-H21)</f>
        <v>24.9448493980021</v>
      </c>
      <c r="J21" s="6" t="n">
        <f aca="false">(100-I21)</f>
        <v>75.0551506019979</v>
      </c>
    </row>
    <row r="22" customFormat="false" ht="15" hidden="false" customHeight="false" outlineLevel="0" collapsed="false">
      <c r="A22" s="4" t="n">
        <v>2007</v>
      </c>
      <c r="B22" s="5" t="n">
        <v>9.45706085419778</v>
      </c>
      <c r="C22" s="8" t="n">
        <f aca="false">(B22-B21)/B21</f>
        <v>-0.0274296554659757</v>
      </c>
      <c r="D22" s="5" t="n">
        <v>1068.99304491633</v>
      </c>
      <c r="E22" s="8" t="n">
        <f aca="false">(D22-D21)/D21</f>
        <v>0.00957658277688669</v>
      </c>
      <c r="F22" s="6" t="n">
        <v>66.2890803467997</v>
      </c>
      <c r="G22" s="8" t="n">
        <f aca="false">(F22-F21)/F21</f>
        <v>-0.0897178984869598</v>
      </c>
      <c r="H22" s="8" t="n">
        <f aca="false">(ABS(C22)*0.4 + ABS(E22)*0.35 + ABS(G22)*0.25)</f>
        <v>0.0367531407800406</v>
      </c>
      <c r="I22" s="6" t="n">
        <f aca="false">I21*(1-H22)</f>
        <v>24.0280478363404</v>
      </c>
      <c r="J22" s="6" t="n">
        <f aca="false">(100-I22)</f>
        <v>75.9719521636596</v>
      </c>
    </row>
    <row r="23" customFormat="false" ht="15" hidden="false" customHeight="false" outlineLevel="0" collapsed="false">
      <c r="A23" s="4" t="n">
        <v>2008</v>
      </c>
      <c r="B23" s="5" t="n">
        <v>9.19765693324637</v>
      </c>
      <c r="C23" s="8" t="n">
        <f aca="false">(B23-B22)/B22</f>
        <v>-0.0274296554659758</v>
      </c>
      <c r="D23" s="5" t="n">
        <v>1079.23034529889</v>
      </c>
      <c r="E23" s="8" t="n">
        <f aca="false">(D23-D22)/D22</f>
        <v>0.00957658277688727</v>
      </c>
      <c r="F23" s="6" t="n">
        <v>60.3417633654516</v>
      </c>
      <c r="G23" s="8" t="n">
        <f aca="false">(F23-F22)/F22</f>
        <v>-0.0897178984869599</v>
      </c>
      <c r="H23" s="8" t="n">
        <f aca="false">(ABS(C23)*0.4 + ABS(E23)*0.35 + ABS(G23)*0.25)</f>
        <v>0.0367531407800409</v>
      </c>
      <c r="I23" s="6" t="n">
        <f aca="false">I22*(1-H23)</f>
        <v>23.1449416115418</v>
      </c>
      <c r="J23" s="6" t="n">
        <f aca="false">(100-I23)</f>
        <v>76.8550583884582</v>
      </c>
      <c r="K23" s="7" t="s">
        <v>13</v>
      </c>
    </row>
    <row r="24" customFormat="false" ht="15" hidden="false" customHeight="false" outlineLevel="0" collapsed="false">
      <c r="A24" s="4" t="n">
        <v>2009</v>
      </c>
      <c r="B24" s="5" t="n">
        <v>8.94536837247317</v>
      </c>
      <c r="C24" s="8" t="n">
        <f aca="false">(B24-B23)/B23</f>
        <v>-0.0274296554659758</v>
      </c>
      <c r="D24" s="5" t="n">
        <v>1089.56568403597</v>
      </c>
      <c r="E24" s="8" t="n">
        <f aca="false">(D24-D23)/D23</f>
        <v>0.00957658277688686</v>
      </c>
      <c r="F24" s="6" t="n">
        <v>54.9280271653059</v>
      </c>
      <c r="G24" s="8" t="n">
        <f aca="false">(F24-F23)/F23</f>
        <v>-0.0897178984869597</v>
      </c>
      <c r="H24" s="8" t="n">
        <f aca="false">(ABS(C24)*0.4 + ABS(E24)*0.35 + ABS(G24)*0.25)</f>
        <v>0.0367531407800407</v>
      </c>
      <c r="I24" s="6" t="n">
        <f aca="false">I23*(1-H24)</f>
        <v>22.294292314147</v>
      </c>
      <c r="J24" s="6" t="n">
        <f aca="false">(100-I24)</f>
        <v>77.705707685853</v>
      </c>
    </row>
    <row r="25" customFormat="false" ht="15" hidden="false" customHeight="false" outlineLevel="0" collapsed="false">
      <c r="A25" s="4" t="n">
        <v>2010</v>
      </c>
      <c r="B25" s="5" t="n">
        <v>8.7</v>
      </c>
      <c r="C25" s="8" t="n">
        <f aca="false">(B25-B24)/B24</f>
        <v>-0.0274296554659757</v>
      </c>
      <c r="D25" s="5" t="n">
        <v>1100</v>
      </c>
      <c r="E25" s="8" t="n">
        <f aca="false">(D25-D24)/D24</f>
        <v>0.00957658277688692</v>
      </c>
      <c r="F25" s="6" t="n">
        <v>50</v>
      </c>
      <c r="G25" s="8" t="n">
        <f aca="false">(F25-F24)/F24</f>
        <v>-0.0897178984869599</v>
      </c>
      <c r="H25" s="8" t="n">
        <f aca="false">(ABS(C25)*0.4 + ABS(E25)*0.35 + ABS(G25)*0.25)</f>
        <v>0.0367531407800407</v>
      </c>
      <c r="I25" s="6" t="n">
        <f aca="false">I24*(1-H25)</f>
        <v>21.4749070501338</v>
      </c>
      <c r="J25" s="6" t="n">
        <f aca="false">(100-I25)</f>
        <v>78.5250929498662</v>
      </c>
      <c r="K25" s="7" t="s">
        <v>14</v>
      </c>
    </row>
    <row r="26" customFormat="false" ht="15" hidden="false" customHeight="false" outlineLevel="0" collapsed="false">
      <c r="A26" s="4" t="n">
        <v>2011</v>
      </c>
      <c r="B26" s="5" t="n">
        <v>7.44778961765926</v>
      </c>
      <c r="C26" s="8" t="n">
        <f aca="false">(B26-B25)/B25</f>
        <v>-0.143932227855258</v>
      </c>
      <c r="D26" s="5" t="n">
        <v>938.888077110407</v>
      </c>
      <c r="E26" s="8" t="n">
        <f aca="false">(D26-D25)/D25</f>
        <v>-0.146465384445085</v>
      </c>
      <c r="F26" s="6" t="n">
        <v>41.6276603700937</v>
      </c>
      <c r="G26" s="8" t="n">
        <f aca="false">(F26-F25)/F25</f>
        <v>-0.167446792598127</v>
      </c>
      <c r="H26" s="8" t="n">
        <f aca="false">(ABS(C26)*0.4 + ABS(E26)*0.35 + ABS(G26)*0.25)</f>
        <v>0.150697473847415</v>
      </c>
      <c r="I26" s="6" t="n">
        <f aca="false">I25*(1-H26)</f>
        <v>18.2386928065706</v>
      </c>
      <c r="J26" s="6" t="n">
        <f aca="false">(100-I26)</f>
        <v>81.7613071934294</v>
      </c>
    </row>
    <row r="27" customFormat="false" ht="15" hidden="false" customHeight="false" outlineLevel="0" collapsed="false">
      <c r="A27" s="4" t="n">
        <v>2012</v>
      </c>
      <c r="B27" s="5" t="n">
        <v>6.3758126653923</v>
      </c>
      <c r="C27" s="8" t="n">
        <f aca="false">(B27-B26)/B26</f>
        <v>-0.143932227855258</v>
      </c>
      <c r="D27" s="5" t="n">
        <v>801.373473945524</v>
      </c>
      <c r="E27" s="8" t="n">
        <f aca="false">(D27-D26)/D26</f>
        <v>-0.146465384445085</v>
      </c>
      <c r="F27" s="6" t="n">
        <v>34.6572421577573</v>
      </c>
      <c r="G27" s="8" t="n">
        <f aca="false">(F27-F26)/F26</f>
        <v>-0.167446792598127</v>
      </c>
      <c r="H27" s="8" t="n">
        <f aca="false">(ABS(C27)*0.4 + ABS(E27)*0.35 + ABS(G27)*0.25)</f>
        <v>0.150697473847415</v>
      </c>
      <c r="I27" s="6" t="n">
        <f aca="false">I26*(1-H27)</f>
        <v>15.4901678743414</v>
      </c>
      <c r="J27" s="6" t="n">
        <f aca="false">(100-I27)</f>
        <v>84.5098321256586</v>
      </c>
    </row>
    <row r="28" customFormat="false" ht="15" hidden="false" customHeight="false" outlineLevel="0" collapsed="false">
      <c r="A28" s="4" t="n">
        <v>2013</v>
      </c>
      <c r="B28" s="5" t="n">
        <v>5.45812774407461</v>
      </c>
      <c r="C28" s="8" t="n">
        <f aca="false">(B28-B27)/B27</f>
        <v>-0.143932227855258</v>
      </c>
      <c r="D28" s="5" t="n">
        <v>684</v>
      </c>
      <c r="E28" s="8" t="n">
        <f aca="false">(D28-D27)/D27</f>
        <v>-0.146465384445085</v>
      </c>
      <c r="F28" s="6" t="n">
        <v>28.8539981181443</v>
      </c>
      <c r="G28" s="8" t="n">
        <f aca="false">(F28-F27)/F27</f>
        <v>-0.167446792598127</v>
      </c>
      <c r="H28" s="8" t="n">
        <f aca="false">(ABS(C28)*0.4 + ABS(E28)*0.35 + ABS(G28)*0.25)</f>
        <v>0.150697473847415</v>
      </c>
      <c r="I28" s="6" t="n">
        <f aca="false">I27*(1-H28)</f>
        <v>13.1558387062058</v>
      </c>
      <c r="J28" s="6" t="n">
        <f aca="false">(100-I28)</f>
        <v>86.8441612937942</v>
      </c>
    </row>
    <row r="29" customFormat="false" ht="15" hidden="false" customHeight="false" outlineLevel="0" collapsed="false">
      <c r="A29" s="4" t="n">
        <v>2014</v>
      </c>
      <c r="B29" s="5" t="n">
        <v>4.67252725795136</v>
      </c>
      <c r="C29" s="8" t="n">
        <f aca="false">(B29-B28)/B28</f>
        <v>-0.143932227855258</v>
      </c>
      <c r="D29" s="5" t="n">
        <v>512.499756097503</v>
      </c>
      <c r="E29" s="8" t="n">
        <f aca="false">(D29-D28)/D28</f>
        <v>-0.250731350734645</v>
      </c>
      <c r="F29" s="6" t="n">
        <v>24.0224886796286</v>
      </c>
      <c r="G29" s="8" t="n">
        <f aca="false">(F29-F28)/F28</f>
        <v>-0.167446792598127</v>
      </c>
      <c r="H29" s="8" t="n">
        <f aca="false">(ABS(C29)*0.4 + ABS(E29)*0.35 + ABS(G29)*0.25)</f>
        <v>0.187190562048761</v>
      </c>
      <c r="I29" s="6" t="n">
        <f aca="false">I28*(1-H29)</f>
        <v>10.6931898645683</v>
      </c>
      <c r="J29" s="6" t="n">
        <f aca="false">(100-I29)</f>
        <v>89.3068101354318</v>
      </c>
    </row>
    <row r="30" customFormat="false" ht="28.35" hidden="false" customHeight="false" outlineLevel="0" collapsed="false">
      <c r="A30" s="4" t="n">
        <v>2015</v>
      </c>
      <c r="B30" s="5" t="n">
        <v>4</v>
      </c>
      <c r="C30" s="8" t="n">
        <f aca="false">(B30-B29)/B29</f>
        <v>-0.143932227855258</v>
      </c>
      <c r="D30" s="5" t="n">
        <v>384</v>
      </c>
      <c r="E30" s="8" t="n">
        <f aca="false">(D30-D29)/D29</f>
        <v>-0.250731350734645</v>
      </c>
      <c r="F30" s="6" t="n">
        <v>20</v>
      </c>
      <c r="G30" s="8" t="n">
        <f aca="false">(F30-F29)/F29</f>
        <v>-0.167446792598127</v>
      </c>
      <c r="H30" s="8" t="n">
        <f aca="false">(ABS(C30)*0.4 + ABS(E30)*0.35 + ABS(G30)*0.25)</f>
        <v>0.187190562048761</v>
      </c>
      <c r="I30" s="6" t="n">
        <f aca="false">I29*(1-H30)</f>
        <v>8.69152564372562</v>
      </c>
      <c r="J30" s="6" t="n">
        <f aca="false">(100-I30)</f>
        <v>91.3084743562744</v>
      </c>
      <c r="K30" s="7" t="s">
        <v>15</v>
      </c>
    </row>
    <row r="31" customFormat="false" ht="15" hidden="false" customHeight="false" outlineLevel="0" collapsed="false">
      <c r="A31" s="4" t="n">
        <v>2016</v>
      </c>
      <c r="B31" s="5" t="n">
        <v>3.89458872246067</v>
      </c>
      <c r="C31" s="8" t="n">
        <f aca="false">(B31-B30)/B30</f>
        <v>-0.026352819384832</v>
      </c>
      <c r="D31" s="5" t="n">
        <v>296.068160587696</v>
      </c>
      <c r="E31" s="8" t="n">
        <f aca="false">(D31-D30)/D30</f>
        <v>-0.22898916513621</v>
      </c>
      <c r="F31" s="6" t="n">
        <v>17.4110112659225</v>
      </c>
      <c r="G31" s="8" t="n">
        <f aca="false">(F31-F30)/F30</f>
        <v>-0.129449436703876</v>
      </c>
      <c r="H31" s="8" t="n">
        <f aca="false">(ABS(C31)*0.4 + ABS(E31)*0.35 + ABS(G31)*0.25)</f>
        <v>0.123049694727575</v>
      </c>
      <c r="I31" s="6" t="n">
        <f aca="false">I30*(1-H31)</f>
        <v>7.62203606654829</v>
      </c>
      <c r="J31" s="6" t="n">
        <f aca="false">(100-I31)</f>
        <v>92.3779639334517</v>
      </c>
    </row>
    <row r="32" customFormat="false" ht="15" hidden="false" customHeight="false" outlineLevel="0" collapsed="false">
      <c r="A32" s="4" t="n">
        <v>2017</v>
      </c>
      <c r="B32" s="5" t="n">
        <v>3.79195532927946</v>
      </c>
      <c r="C32" s="8" t="n">
        <f aca="false">(B32-B31)/B31</f>
        <v>-0.0263528193848318</v>
      </c>
      <c r="D32" s="5" t="n">
        <v>228.271759671306</v>
      </c>
      <c r="E32" s="8" t="n">
        <f aca="false">(D32-D31)/D31</f>
        <v>-0.22898916513621</v>
      </c>
      <c r="F32" s="6" t="n">
        <v>15.157165665104</v>
      </c>
      <c r="G32" s="8" t="n">
        <f aca="false">(F32-F31)/F31</f>
        <v>-0.129449436703876</v>
      </c>
      <c r="H32" s="8" t="n">
        <f aca="false">(ABS(C32)*0.4 + ABS(E32)*0.35 + ABS(G32)*0.25)</f>
        <v>0.123049694727575</v>
      </c>
      <c r="I32" s="6" t="n">
        <f aca="false">I31*(1-H32)</f>
        <v>6.68414685535695</v>
      </c>
      <c r="J32" s="6" t="n">
        <f aca="false">(100-I32)</f>
        <v>93.315853144643</v>
      </c>
    </row>
    <row r="33" customFormat="false" ht="15" hidden="false" customHeight="false" outlineLevel="0" collapsed="false">
      <c r="A33" s="4" t="n">
        <v>2018</v>
      </c>
      <c r="B33" s="5" t="n">
        <v>3.69202661537161</v>
      </c>
      <c r="C33" s="8" t="n">
        <f aca="false">(B33-B32)/B32</f>
        <v>-0.0263528193848318</v>
      </c>
      <c r="D33" s="5" t="n">
        <v>176</v>
      </c>
      <c r="E33" s="8" t="n">
        <f aca="false">(D33-D32)/D32</f>
        <v>-0.22898916513621</v>
      </c>
      <c r="F33" s="6" t="n">
        <v>13.1950791077289</v>
      </c>
      <c r="G33" s="8" t="n">
        <f aca="false">(F33-F32)/F32</f>
        <v>-0.129449436703876</v>
      </c>
      <c r="H33" s="8" t="n">
        <f aca="false">(ABS(C33)*0.4 + ABS(E33)*0.35 + ABS(G33)*0.25)</f>
        <v>0.123049694727575</v>
      </c>
      <c r="I33" s="6" t="n">
        <f aca="false">I32*(1-H33)</f>
        <v>5.861664625291</v>
      </c>
      <c r="J33" s="6" t="n">
        <f aca="false">(100-I33)</f>
        <v>94.138335374709</v>
      </c>
    </row>
    <row r="34" customFormat="false" ht="15" hidden="false" customHeight="false" outlineLevel="0" collapsed="false">
      <c r="A34" s="4" t="n">
        <v>2019</v>
      </c>
      <c r="B34" s="5" t="n">
        <v>3.59473130481273</v>
      </c>
      <c r="C34" s="8" t="n">
        <f aca="false">(B34-B33)/B33</f>
        <v>-0.0263528193848318</v>
      </c>
      <c r="D34" s="5" t="n">
        <v>155.280391550253</v>
      </c>
      <c r="E34" s="8" t="n">
        <f aca="false">(D34-D33)/D33</f>
        <v>-0.117725048009924</v>
      </c>
      <c r="F34" s="6" t="n">
        <v>11.4869835499704</v>
      </c>
      <c r="G34" s="8" t="n">
        <f aca="false">(F34-F33)/F33</f>
        <v>-0.129449436703876</v>
      </c>
      <c r="H34" s="8" t="n">
        <f aca="false">(ABS(C34)*0.4 + ABS(E34)*0.35 + ABS(G34)*0.25)</f>
        <v>0.084107253733375</v>
      </c>
      <c r="I34" s="6" t="n">
        <f aca="false">I33*(1-H34)</f>
        <v>5.3686561113517</v>
      </c>
      <c r="J34" s="6" t="n">
        <f aca="false">(100-I34)</f>
        <v>94.6313438886483</v>
      </c>
    </row>
    <row r="35" customFormat="false" ht="15" hidden="false" customHeight="false" outlineLevel="0" collapsed="false">
      <c r="A35" s="4" t="n">
        <v>2020</v>
      </c>
      <c r="B35" s="5" t="n">
        <v>3.5</v>
      </c>
      <c r="C35" s="8" t="n">
        <f aca="false">(B35-B34)/B34</f>
        <v>-0.0263528193848319</v>
      </c>
      <c r="D35" s="5" t="n">
        <v>137</v>
      </c>
      <c r="E35" s="8" t="n">
        <f aca="false">(D35-D34)/D34</f>
        <v>-0.117725048009924</v>
      </c>
      <c r="F35" s="6" t="n">
        <v>10</v>
      </c>
      <c r="G35" s="8" t="n">
        <f aca="false">(F35-F34)/F34</f>
        <v>-0.129449436703876</v>
      </c>
      <c r="H35" s="8" t="n">
        <f aca="false">(ABS(C35)*0.4 + ABS(E35)*0.35 + ABS(G35)*0.25)</f>
        <v>0.0841072537333752</v>
      </c>
      <c r="I35" s="6" t="n">
        <f aca="false">I34*(1-H35)</f>
        <v>4.91711318958701</v>
      </c>
      <c r="J35" s="6" t="n">
        <f aca="false">(100-I35)</f>
        <v>95.082886810413</v>
      </c>
      <c r="K35" s="7" t="s">
        <v>16</v>
      </c>
    </row>
    <row r="36" customFormat="false" ht="15" hidden="false" customHeight="false" outlineLevel="0" collapsed="false">
      <c r="A36" s="4" t="n">
        <v>2021</v>
      </c>
      <c r="B36" s="5" t="n">
        <v>3.36768410368517</v>
      </c>
      <c r="C36" s="8" t="n">
        <f aca="false">(B36-B35)/B35</f>
        <v>-0.0378045418042386</v>
      </c>
      <c r="D36" s="5" t="n">
        <v>143.829760480924</v>
      </c>
      <c r="E36" s="8" t="n">
        <f aca="false">(D36-D35)/D35</f>
        <v>0.0498522662841176</v>
      </c>
      <c r="F36" s="6" t="n">
        <v>8.40896415253715</v>
      </c>
      <c r="G36" s="8" t="n">
        <f aca="false">(F36-F35)/F35</f>
        <v>-0.159103584746286</v>
      </c>
      <c r="H36" s="8" t="n">
        <f aca="false">(ABS(C36)*0.4 + ABS(E36)*0.35 + ABS(G36)*0.25)</f>
        <v>0.072346006107708</v>
      </c>
      <c r="I36" s="6" t="n">
        <f aca="false">I35*(1-H36)</f>
        <v>4.56137968874085</v>
      </c>
      <c r="J36" s="6" t="n">
        <f aca="false">(100-I36)</f>
        <v>95.4386203112591</v>
      </c>
    </row>
    <row r="37" customFormat="false" ht="15" hidden="false" customHeight="false" outlineLevel="0" collapsed="false">
      <c r="A37" s="4" t="n">
        <v>2022</v>
      </c>
      <c r="B37" s="5" t="n">
        <v>3.24037034920393</v>
      </c>
      <c r="C37" s="8" t="n">
        <f aca="false">(B37-B36)/B36</f>
        <v>-0.0378045418042384</v>
      </c>
      <c r="D37" s="5" t="n">
        <v>151</v>
      </c>
      <c r="E37" s="8" t="n">
        <f aca="false">(D37-D36)/D36</f>
        <v>0.0498522662841177</v>
      </c>
      <c r="F37" s="6" t="n">
        <v>7.07106781186548</v>
      </c>
      <c r="G37" s="8" t="n">
        <f aca="false">(F37-F36)/F36</f>
        <v>-0.159103584746285</v>
      </c>
      <c r="H37" s="8" t="n">
        <f aca="false">(ABS(C37)*0.4 + ABS(E37)*0.35 + ABS(G37)*0.25)</f>
        <v>0.0723460061077078</v>
      </c>
      <c r="I37" s="6" t="n">
        <f aca="false">I36*(1-H37)</f>
        <v>4.23138208591963</v>
      </c>
      <c r="J37" s="6" t="n">
        <f aca="false">(100-I37)</f>
        <v>95.7686179140804</v>
      </c>
    </row>
    <row r="38" customFormat="false" ht="15" hidden="false" customHeight="false" outlineLevel="0" collapsed="false">
      <c r="A38" s="4" t="n">
        <v>2023</v>
      </c>
      <c r="B38" s="5" t="n">
        <v>3.11786963287624</v>
      </c>
      <c r="C38" s="8" t="n">
        <f aca="false">(B38-B37)/B37</f>
        <v>-0.0378045418042385</v>
      </c>
      <c r="D38" s="5" t="n">
        <v>139</v>
      </c>
      <c r="E38" s="8" t="n">
        <f aca="false">(D38-D37)/D37</f>
        <v>-0.0794701986754967</v>
      </c>
      <c r="F38" s="6" t="n">
        <v>5.94603557501361</v>
      </c>
      <c r="G38" s="8" t="n">
        <f aca="false">(F38-F37)/F37</f>
        <v>-0.159103584746286</v>
      </c>
      <c r="H38" s="8" t="n">
        <f aca="false">(ABS(C38)*0.4 + ABS(E38)*0.35 + ABS(G38)*0.25)</f>
        <v>0.0827122824446907</v>
      </c>
      <c r="I38" s="6" t="n">
        <f aca="false">I37*(1-H38)</f>
        <v>3.88139481569765</v>
      </c>
      <c r="J38" s="6" t="n">
        <f aca="false">(100-I38)</f>
        <v>96.1186051843024</v>
      </c>
    </row>
    <row r="39" customFormat="false" ht="15" hidden="false" customHeight="false" outlineLevel="0" collapsed="false">
      <c r="A39" s="4" t="n">
        <v>2024</v>
      </c>
      <c r="B39" s="5" t="n">
        <v>3</v>
      </c>
      <c r="C39" s="8" t="n">
        <f aca="false">(B39-B38)/B38</f>
        <v>-0.0378045418042384</v>
      </c>
      <c r="D39" s="5" t="n">
        <v>115</v>
      </c>
      <c r="E39" s="8" t="n">
        <f aca="false">(D39-D38)/D38</f>
        <v>-0.172661870503597</v>
      </c>
      <c r="F39" s="6" t="n">
        <v>5</v>
      </c>
      <c r="G39" s="8" t="n">
        <f aca="false">(F39-F38)/F38</f>
        <v>-0.159103584746285</v>
      </c>
      <c r="H39" s="8" t="n">
        <f aca="false">(ABS(C39)*0.4 + ABS(E39)*0.35 + ABS(G39)*0.25)</f>
        <v>0.115329367584526</v>
      </c>
      <c r="I39" s="6" t="n">
        <f aca="false">I38*(1-H39)</f>
        <v>3.43375600625738</v>
      </c>
      <c r="J39" s="6" t="n">
        <f aca="false">(100-I39)</f>
        <v>96.5662439937426</v>
      </c>
      <c r="K39" s="7" t="s">
        <v>17</v>
      </c>
    </row>
    <row r="41" customFormat="false" ht="15" hidden="false" customHeight="false" outlineLevel="0" collapsed="false">
      <c r="A41" s="9" t="s">
        <v>18</v>
      </c>
    </row>
    <row r="42" customFormat="false" ht="15" hidden="false" customHeight="false" outlineLevel="0" collapsed="false">
      <c r="A42" s="10" t="s">
        <v>19</v>
      </c>
      <c r="B42" s="10"/>
      <c r="C42" s="11" t="n">
        <f aca="false">AVERAGE(H6:H39)</f>
        <v>0.0930717664192381</v>
      </c>
    </row>
    <row r="43" customFormat="false" ht="15" hidden="false" customHeight="false" outlineLevel="0" collapsed="false">
      <c r="A43" s="10" t="s">
        <v>20</v>
      </c>
      <c r="B43" s="10"/>
      <c r="C43" s="11" t="n">
        <f aca="false">(100-I39)/100</f>
        <v>0.965662439937426</v>
      </c>
    </row>
    <row r="44" customFormat="false" ht="15" hidden="false" customHeight="false" outlineLevel="0" collapsed="false">
      <c r="A44" s="10" t="s">
        <v>21</v>
      </c>
      <c r="B44" s="10"/>
      <c r="C44" s="12" t="s">
        <v>22</v>
      </c>
    </row>
    <row r="45" customFormat="false" ht="15" hidden="false" customHeight="false" outlineLevel="0" collapsed="false">
      <c r="A45" s="10" t="s">
        <v>23</v>
      </c>
      <c r="B45" s="10"/>
      <c r="C45" s="12" t="s">
        <v>24</v>
      </c>
    </row>
    <row r="46" customFormat="false" ht="15" hidden="false" customHeight="false" outlineLevel="0" collapsed="false">
      <c r="A46" s="10" t="s">
        <v>25</v>
      </c>
      <c r="B46" s="10"/>
      <c r="C46" s="12" t="s">
        <v>26</v>
      </c>
    </row>
    <row r="47" customFormat="false" ht="15" hidden="false" customHeight="false" outlineLevel="0" collapsed="false">
      <c r="A47" s="10" t="s">
        <v>27</v>
      </c>
      <c r="B47" s="10"/>
      <c r="C47" s="13" t="n">
        <f aca="false">J39</f>
        <v>96.5662439937426</v>
      </c>
    </row>
    <row r="50" customFormat="false" ht="15" hidden="false" customHeight="false" outlineLevel="0" collapsed="false">
      <c r="A50" s="9" t="s">
        <v>28</v>
      </c>
    </row>
    <row r="51" customFormat="false" ht="28.35" hidden="false" customHeight="true" outlineLevel="0" collapsed="false">
      <c r="A51" s="14" t="s">
        <v>29</v>
      </c>
      <c r="B51" s="14"/>
      <c r="C51" s="14"/>
      <c r="D51" s="14"/>
    </row>
    <row r="52" customFormat="false" ht="28.35" hidden="false" customHeight="true" outlineLevel="0" collapsed="false">
      <c r="A52" s="14" t="s">
        <v>30</v>
      </c>
      <c r="B52" s="14"/>
      <c r="C52" s="14"/>
      <c r="D52" s="14"/>
    </row>
    <row r="53" customFormat="false" ht="28.35" hidden="false" customHeight="true" outlineLevel="0" collapsed="false">
      <c r="A53" s="14" t="s">
        <v>31</v>
      </c>
      <c r="B53" s="14"/>
      <c r="C53" s="14"/>
      <c r="D53" s="14"/>
    </row>
    <row r="54" customFormat="false" ht="28.35" hidden="false" customHeight="true" outlineLevel="0" collapsed="false">
      <c r="A54" s="14" t="s">
        <v>32</v>
      </c>
      <c r="B54" s="14"/>
      <c r="C54" s="14"/>
      <c r="D54" s="14"/>
    </row>
    <row r="55" customFormat="false" ht="28.35" hidden="false" customHeight="true" outlineLevel="0" collapsed="false">
      <c r="A55" s="14" t="s">
        <v>33</v>
      </c>
      <c r="B55" s="14"/>
      <c r="C55" s="14"/>
      <c r="D55" s="14"/>
    </row>
    <row r="56" customFormat="false" ht="28.35" hidden="false" customHeight="true" outlineLevel="0" collapsed="false">
      <c r="A56" s="14" t="s">
        <v>34</v>
      </c>
      <c r="B56" s="14"/>
      <c r="C56" s="14"/>
      <c r="D56" s="14"/>
    </row>
    <row r="57" customFormat="false" ht="28.35" hidden="false" customHeight="true" outlineLevel="0" collapsed="false">
      <c r="A57" s="14" t="s">
        <v>35</v>
      </c>
      <c r="B57" s="14"/>
      <c r="C57" s="14"/>
      <c r="D57" s="14"/>
    </row>
    <row r="60" customFormat="false" ht="15" hidden="false" customHeight="false" outlineLevel="0" collapsed="false">
      <c r="A60" s="15" t="s">
        <v>36</v>
      </c>
    </row>
    <row r="61" customFormat="false" ht="15" hidden="false" customHeight="true" outlineLevel="0" collapsed="false">
      <c r="A61" s="16" t="s">
        <v>37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customFormat="false" ht="15" hidden="false" customHeight="false" outlineLevel="0" collapsed="false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</sheetData>
  <mergeCells count="16">
    <mergeCell ref="A1:L1"/>
    <mergeCell ref="A2:L2"/>
    <mergeCell ref="A42:B42"/>
    <mergeCell ref="A43:B43"/>
    <mergeCell ref="A44:B44"/>
    <mergeCell ref="A45:B45"/>
    <mergeCell ref="A46:B46"/>
    <mergeCell ref="A47:B47"/>
    <mergeCell ref="A51:D51"/>
    <mergeCell ref="A52:D52"/>
    <mergeCell ref="A53:D53"/>
    <mergeCell ref="A54:D54"/>
    <mergeCell ref="A55:D55"/>
    <mergeCell ref="A56:D56"/>
    <mergeCell ref="A57:D57"/>
    <mergeCell ref="A61:L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2025-12-12T16:28:14Z</dcterms:created>
  <dc:creator>openpyxl</dc:creator>
  <dc:description/>
  <dc:language>en-US</dc:language>
  <cp:lastModifiedBy/>
  <dcterms:modified xsi:type="dcterms:W3CDTF">2025-12-12T16:28:14Z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